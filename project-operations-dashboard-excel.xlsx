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ohe.000\Downloads\"/>
    </mc:Choice>
  </mc:AlternateContent>
  <xr:revisionPtr revIDLastSave="0" documentId="8_{A704B487-50DA-40A4-8781-C9EDA88B3B6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Controls" sheetId="1" r:id="rId1"/>
    <sheet name="Project Dashboard" sheetId="2" r:id="rId2"/>
    <sheet name="Billing Tracker" sheetId="3" r:id="rId3"/>
    <sheet name="Document Control" sheetId="4" r:id="rId4"/>
    <sheet name="Inventory Tracker" sheetId="5" r:id="rId5"/>
    <sheet name="Workflow Pipeline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6" l="1"/>
  <c r="Q10" i="6"/>
  <c r="P10" i="6"/>
  <c r="O10" i="6"/>
  <c r="N10" i="6"/>
  <c r="M10" i="6"/>
  <c r="L10" i="6"/>
  <c r="K10" i="6"/>
  <c r="H10" i="6"/>
  <c r="R9" i="6"/>
  <c r="Q9" i="6"/>
  <c r="P9" i="6"/>
  <c r="O9" i="6"/>
  <c r="N9" i="6"/>
  <c r="M9" i="6"/>
  <c r="L9" i="6"/>
  <c r="K9" i="6"/>
  <c r="H9" i="6"/>
  <c r="R8" i="6"/>
  <c r="Q8" i="6"/>
  <c r="P8" i="6"/>
  <c r="O8" i="6"/>
  <c r="N8" i="6"/>
  <c r="M8" i="6"/>
  <c r="L8" i="6"/>
  <c r="K8" i="6"/>
  <c r="H8" i="6"/>
  <c r="R7" i="6"/>
  <c r="Q7" i="6"/>
  <c r="P7" i="6"/>
  <c r="O7" i="6"/>
  <c r="N7" i="6"/>
  <c r="M7" i="6"/>
  <c r="L7" i="6"/>
  <c r="K7" i="6"/>
  <c r="H7" i="6"/>
  <c r="R6" i="6"/>
  <c r="Q6" i="6"/>
  <c r="P6" i="6"/>
  <c r="O6" i="6"/>
  <c r="N6" i="6"/>
  <c r="M6" i="6"/>
  <c r="L6" i="6"/>
  <c r="K6" i="6"/>
  <c r="H6" i="6"/>
  <c r="R5" i="6"/>
  <c r="Q5" i="6"/>
  <c r="P5" i="6"/>
  <c r="O5" i="6"/>
  <c r="N5" i="6"/>
  <c r="M5" i="6"/>
  <c r="L5" i="6"/>
  <c r="K5" i="6"/>
  <c r="H5" i="6"/>
  <c r="J13" i="5"/>
  <c r="I13" i="5"/>
  <c r="J12" i="5"/>
  <c r="I12" i="5"/>
  <c r="M11" i="5"/>
  <c r="J11" i="5"/>
  <c r="I11" i="5"/>
  <c r="M10" i="5"/>
  <c r="J10" i="5"/>
  <c r="I10" i="5"/>
  <c r="M9" i="5"/>
  <c r="J9" i="5"/>
  <c r="I9" i="5"/>
  <c r="M8" i="5"/>
  <c r="J8" i="5"/>
  <c r="I8" i="5"/>
  <c r="M7" i="5"/>
  <c r="J7" i="5"/>
  <c r="I7" i="5"/>
  <c r="J6" i="5"/>
  <c r="I6" i="5"/>
  <c r="J5" i="5"/>
  <c r="M6" i="5" s="1"/>
  <c r="I5" i="5"/>
  <c r="R3" i="5"/>
  <c r="O3" i="5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N9" i="4"/>
  <c r="K9" i="4"/>
  <c r="J9" i="4"/>
  <c r="N8" i="4"/>
  <c r="K8" i="4"/>
  <c r="J8" i="4"/>
  <c r="N7" i="4"/>
  <c r="K7" i="4"/>
  <c r="J7" i="4"/>
  <c r="N6" i="4"/>
  <c r="K6" i="4"/>
  <c r="J6" i="4"/>
  <c r="P3" i="4" s="1"/>
  <c r="K5" i="4"/>
  <c r="J5" i="4"/>
  <c r="S3" i="4"/>
  <c r="M3" i="4"/>
  <c r="L14" i="3"/>
  <c r="K14" i="3"/>
  <c r="G14" i="3"/>
  <c r="L13" i="3"/>
  <c r="K13" i="3"/>
  <c r="G13" i="3"/>
  <c r="L12" i="3"/>
  <c r="K12" i="3"/>
  <c r="G12" i="3"/>
  <c r="L11" i="3"/>
  <c r="K11" i="3"/>
  <c r="G11" i="3"/>
  <c r="L10" i="3"/>
  <c r="K10" i="3"/>
  <c r="G10" i="3"/>
  <c r="L9" i="3"/>
  <c r="K9" i="3"/>
  <c r="G9" i="3"/>
  <c r="L8" i="3"/>
  <c r="K8" i="3"/>
  <c r="G8" i="3"/>
  <c r="K7" i="3"/>
  <c r="L7" i="3" s="1"/>
  <c r="G7" i="3"/>
  <c r="L6" i="3"/>
  <c r="K6" i="3"/>
  <c r="G6" i="3"/>
  <c r="L5" i="3"/>
  <c r="K5" i="3"/>
  <c r="G5" i="3"/>
  <c r="J3" i="3"/>
  <c r="G3" i="3"/>
  <c r="D3" i="3"/>
  <c r="A3" i="3"/>
  <c r="T16" i="2"/>
  <c r="S16" i="2"/>
  <c r="R16" i="2"/>
  <c r="P16" i="2"/>
  <c r="U16" i="2" s="1"/>
  <c r="M16" i="2"/>
  <c r="K16" i="2"/>
  <c r="U15" i="2"/>
  <c r="T15" i="2"/>
  <c r="R15" i="2"/>
  <c r="P15" i="2"/>
  <c r="K15" i="2"/>
  <c r="S15" i="2" s="1"/>
  <c r="U14" i="2"/>
  <c r="T14" i="2"/>
  <c r="S14" i="2"/>
  <c r="R14" i="2"/>
  <c r="P14" i="2"/>
  <c r="K14" i="2"/>
  <c r="M14" i="2" s="1"/>
  <c r="T13" i="2"/>
  <c r="S13" i="2"/>
  <c r="R13" i="2"/>
  <c r="P13" i="2"/>
  <c r="U13" i="2" s="1"/>
  <c r="M13" i="2"/>
  <c r="K13" i="2"/>
  <c r="U12" i="2"/>
  <c r="T12" i="2"/>
  <c r="R12" i="2"/>
  <c r="P12" i="2"/>
  <c r="K12" i="2"/>
  <c r="S12" i="2" s="1"/>
  <c r="U11" i="2"/>
  <c r="T11" i="2"/>
  <c r="S11" i="2"/>
  <c r="R11" i="2"/>
  <c r="P11" i="2"/>
  <c r="M11" i="2"/>
  <c r="K11" i="2"/>
  <c r="S8" i="2"/>
  <c r="S7" i="2"/>
  <c r="S6" i="2"/>
  <c r="J6" i="2"/>
  <c r="G6" i="2"/>
  <c r="D6" i="2"/>
  <c r="A6" i="2"/>
  <c r="S5" i="2"/>
  <c r="S4" i="2"/>
  <c r="M4" i="2"/>
  <c r="G4" i="2"/>
  <c r="A4" i="2"/>
  <c r="B2" i="2"/>
  <c r="O7" i="3" l="1"/>
  <c r="O6" i="3"/>
  <c r="O5" i="3"/>
  <c r="O8" i="3"/>
  <c r="L3" i="5"/>
  <c r="M15" i="2"/>
  <c r="M12" i="2"/>
  <c r="M6" i="2" s="1"/>
  <c r="D4" i="2"/>
  <c r="J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Change this date to roll the dashboard and aging metrics forward.</t>
        </r>
      </text>
    </comment>
  </commentList>
</comments>
</file>

<file path=xl/sharedStrings.xml><?xml version="1.0" encoding="utf-8"?>
<sst xmlns="http://schemas.openxmlformats.org/spreadsheetml/2006/main" count="379" uniqueCount="213">
  <si>
    <t>Workbook Controls</t>
  </si>
  <si>
    <t>Report Date</t>
  </si>
  <si>
    <t>Project Statuses</t>
  </si>
  <si>
    <t>Invoice Statuses</t>
  </si>
  <si>
    <t>Document Statuses</t>
  </si>
  <si>
    <t>Pipeline Stages</t>
  </si>
  <si>
    <t>Inventory Flags</t>
  </si>
  <si>
    <t>Planning</t>
  </si>
  <si>
    <t>Draft</t>
  </si>
  <si>
    <t>Open</t>
  </si>
  <si>
    <t>Setup</t>
  </si>
  <si>
    <t>OK</t>
  </si>
  <si>
    <t>Active</t>
  </si>
  <si>
    <t>Submitted</t>
  </si>
  <si>
    <t>Pending</t>
  </si>
  <si>
    <t>Procurement</t>
  </si>
  <si>
    <t>Reorder</t>
  </si>
  <si>
    <t>Billing</t>
  </si>
  <si>
    <t>Approved</t>
  </si>
  <si>
    <t>Field Install</t>
  </si>
  <si>
    <t>On Order</t>
  </si>
  <si>
    <t>Closeout</t>
  </si>
  <si>
    <t>Partial</t>
  </si>
  <si>
    <t>Closed</t>
  </si>
  <si>
    <t>Testing</t>
  </si>
  <si>
    <t>Issued</t>
  </si>
  <si>
    <t>Paid</t>
  </si>
  <si>
    <t>On Hold</t>
  </si>
  <si>
    <t>Overdue</t>
  </si>
  <si>
    <t>LINX Project Operations Dashboard</t>
  </si>
  <si>
    <t>Sample dashboard for interviews — built in Excel to simulate project setup, billing, document control, inventory, and closeout tracking.</t>
  </si>
  <si>
    <t>Open Projects</t>
  </si>
  <si>
    <t>Total Revised Budget</t>
  </si>
  <si>
    <t>Total Actual Cost</t>
  </si>
  <si>
    <t>Gross Remaining</t>
  </si>
  <si>
    <t>Outstanding A/R</t>
  </si>
  <si>
    <t>Status</t>
  </si>
  <si>
    <t>Count</t>
  </si>
  <si>
    <t>Overdue Docs</t>
  </si>
  <si>
    <t>Reorder Alerts</t>
  </si>
  <si>
    <t>Open Invoices</t>
  </si>
  <si>
    <t>Avg Completion</t>
  </si>
  <si>
    <t>Projects Over Budget</t>
  </si>
  <si>
    <t>Project ID</t>
  </si>
  <si>
    <t>Project Name</t>
  </si>
  <si>
    <t>Office</t>
  </si>
  <si>
    <t>Project Manager</t>
  </si>
  <si>
    <t>Start Date</t>
  </si>
  <si>
    <t>End Date</t>
  </si>
  <si>
    <t>% Complete</t>
  </si>
  <si>
    <t>Base Budget</t>
  </si>
  <si>
    <t>Approved COs</t>
  </si>
  <si>
    <t>Revised Budget</t>
  </si>
  <si>
    <t>Actual Cost</t>
  </si>
  <si>
    <t>Cost Variance</t>
  </si>
  <si>
    <t>Billed To Date</t>
  </si>
  <si>
    <t>Cash Received</t>
  </si>
  <si>
    <t>Outstanding AR</t>
  </si>
  <si>
    <t>Project</t>
  </si>
  <si>
    <t>P-1001</t>
  </si>
  <si>
    <t>Denver Data Center Buildout</t>
  </si>
  <si>
    <t>Denver</t>
  </si>
  <si>
    <t>Riley Chen</t>
  </si>
  <si>
    <t>P-1002</t>
  </si>
  <si>
    <t>Seattle Office Security Upgrade</t>
  </si>
  <si>
    <t>Seattle</t>
  </si>
  <si>
    <t>Morgan Lee</t>
  </si>
  <si>
    <t>P-1003</t>
  </si>
  <si>
    <t>Salt Lake Wireless Refresh</t>
  </si>
  <si>
    <t>Salt Lake City</t>
  </si>
  <si>
    <t>Jordan Patel</t>
  </si>
  <si>
    <t>P-1004</t>
  </si>
  <si>
    <t>San Antonio Cabling Retrofit</t>
  </si>
  <si>
    <t>San Antonio</t>
  </si>
  <si>
    <t>Avery Brooks</t>
  </si>
  <si>
    <t>P-1005</t>
  </si>
  <si>
    <t>Atlanta Access Control Install</t>
  </si>
  <si>
    <t>Atlanta</t>
  </si>
  <si>
    <t>Taylor Nguyen</t>
  </si>
  <si>
    <t>P-1006</t>
  </si>
  <si>
    <t>Cheyenne MDF/IDF Cleanup</t>
  </si>
  <si>
    <t>Cheyenne</t>
  </si>
  <si>
    <t>Casey Smith</t>
  </si>
  <si>
    <t>Billing Tracker &amp; A/R Aging</t>
  </si>
  <si>
    <t>Total Gross Billings</t>
  </si>
  <si>
    <t>Net Billable</t>
  </si>
  <si>
    <t>Current A/R</t>
  </si>
  <si>
    <t>Invoice #</t>
  </si>
  <si>
    <t>Invoice Date</t>
  </si>
  <si>
    <t>Invoice Amount</t>
  </si>
  <si>
    <t>Retainage %</t>
  </si>
  <si>
    <t>Paid Amount</t>
  </si>
  <si>
    <t>Payment Date</t>
  </si>
  <si>
    <t>Payment Status</t>
  </si>
  <si>
    <t>Days Outstanding</t>
  </si>
  <si>
    <t>Aging Bucket</t>
  </si>
  <si>
    <t>Open $</t>
  </si>
  <si>
    <t>INV-26001</t>
  </si>
  <si>
    <t>0-30</t>
  </si>
  <si>
    <t>INV-26002</t>
  </si>
  <si>
    <t>31-60</t>
  </si>
  <si>
    <t>INV-26003</t>
  </si>
  <si>
    <t>61-90</t>
  </si>
  <si>
    <t>INV-26004</t>
  </si>
  <si>
    <t>90+</t>
  </si>
  <si>
    <t>INV-26005</t>
  </si>
  <si>
    <t>INV-26006</t>
  </si>
  <si>
    <t>INV-26007</t>
  </si>
  <si>
    <t>INV-26008</t>
  </si>
  <si>
    <t>INV-26009</t>
  </si>
  <si>
    <t>INV-26010</t>
  </si>
  <si>
    <t>Document Control Log</t>
  </si>
  <si>
    <t>Track RFIs, submittals, and closeout documents with due dates and overdue flags.</t>
  </si>
  <si>
    <t>Open Items</t>
  </si>
  <si>
    <t>Overdue Items</t>
  </si>
  <si>
    <t>Closed / Approved</t>
  </si>
  <si>
    <t>Doc ID</t>
  </si>
  <si>
    <t>Document Type</t>
  </si>
  <si>
    <t>Description</t>
  </si>
  <si>
    <t>Date Submitted</t>
  </si>
  <si>
    <t>Due Date</t>
  </si>
  <si>
    <t>Owner</t>
  </si>
  <si>
    <t>Overdue?</t>
  </si>
  <si>
    <t>Days Open</t>
  </si>
  <si>
    <t>RFI-101</t>
  </si>
  <si>
    <t>RFI</t>
  </si>
  <si>
    <t>Conduit routing clarification</t>
  </si>
  <si>
    <t>SUB-204</t>
  </si>
  <si>
    <t>Submittal</t>
  </si>
  <si>
    <t>Cable schedule package</t>
  </si>
  <si>
    <t>RFI-118</t>
  </si>
  <si>
    <t>Door hardware coordination</t>
  </si>
  <si>
    <t>SUB-208</t>
  </si>
  <si>
    <t>AP mounting details</t>
  </si>
  <si>
    <t>RFI-127</t>
  </si>
  <si>
    <t>Above-ceiling access request</t>
  </si>
  <si>
    <t>CLS-001</t>
  </si>
  <si>
    <t>Warranty letter draft</t>
  </si>
  <si>
    <t>RFI-133</t>
  </si>
  <si>
    <t>Panel location confirmation</t>
  </si>
  <si>
    <t>SUB-211</t>
  </si>
  <si>
    <t>Device cut sheet package</t>
  </si>
  <si>
    <t>CLS-002</t>
  </si>
  <si>
    <t>As-built markup</t>
  </si>
  <si>
    <t>SUB-198</t>
  </si>
  <si>
    <t>Panel schedules</t>
  </si>
  <si>
    <t>RFI-139</t>
  </si>
  <si>
    <t>Rack elevation confirmation</t>
  </si>
  <si>
    <t>CLS-003</t>
  </si>
  <si>
    <t>O&amp;M draft</t>
  </si>
  <si>
    <t>Inventory &amp; Procurement Tracker</t>
  </si>
  <si>
    <t>Consumables and job-site materials with reorder automation.</t>
  </si>
  <si>
    <t>Stock Value</t>
  </si>
  <si>
    <t>Items to Reorder</t>
  </si>
  <si>
    <t>Items On Order</t>
  </si>
  <si>
    <t>Item ID</t>
  </si>
  <si>
    <t>Item Name</t>
  </si>
  <si>
    <t>Category</t>
  </si>
  <si>
    <t>Location</t>
  </si>
  <si>
    <t>Unit Cost</t>
  </si>
  <si>
    <t>Qty On Hand</t>
  </si>
  <si>
    <t>Reorder Point</t>
  </si>
  <si>
    <t>Qty On Order</t>
  </si>
  <si>
    <t>Reorder Flag</t>
  </si>
  <si>
    <t>MAT-001</t>
  </si>
  <si>
    <t>Cat6A Cable Box</t>
  </si>
  <si>
    <t>Cabling</t>
  </si>
  <si>
    <t>Denver Yard</t>
  </si>
  <si>
    <t>MAT-002</t>
  </si>
  <si>
    <t>Patch Panels</t>
  </si>
  <si>
    <t>Hardware</t>
  </si>
  <si>
    <t>Seattle Office</t>
  </si>
  <si>
    <t>MAT-003</t>
  </si>
  <si>
    <t>Faceplates</t>
  </si>
  <si>
    <t>Consumable</t>
  </si>
  <si>
    <t>Atlanta Office</t>
  </si>
  <si>
    <t>MAT-004</t>
  </si>
  <si>
    <t>Velcro Ties</t>
  </si>
  <si>
    <t>San Antonio Office</t>
  </si>
  <si>
    <t>MAT-005</t>
  </si>
  <si>
    <t>Security Readers</t>
  </si>
  <si>
    <t>Security</t>
  </si>
  <si>
    <t>MAT-006</t>
  </si>
  <si>
    <t>Fiber Shelf</t>
  </si>
  <si>
    <t>Field Support</t>
  </si>
  <si>
    <t>MAT-007</t>
  </si>
  <si>
    <t>Ice / Water Coolers</t>
  </si>
  <si>
    <t>Safety</t>
  </si>
  <si>
    <t>MAT-008</t>
  </si>
  <si>
    <t>PPE Kits</t>
  </si>
  <si>
    <t>MAT-009</t>
  </si>
  <si>
    <t>Labels &amp; Heat Shrink</t>
  </si>
  <si>
    <t>Cheyenne Office</t>
  </si>
  <si>
    <t>Workflow Pipeline &amp; Stage Timeline</t>
  </si>
  <si>
    <t>The weekly timeline highlights the current-stage window for each project.</t>
  </si>
  <si>
    <t>Current Stage</t>
  </si>
  <si>
    <t>Stage Owner</t>
  </si>
  <si>
    <t>Stage Start</t>
  </si>
  <si>
    <t>Planned Finish</t>
  </si>
  <si>
    <t>Actual Finish</t>
  </si>
  <si>
    <t>Days in Stage</t>
  </si>
  <si>
    <t>Stage Status</t>
  </si>
  <si>
    <t>Next Milestone</t>
  </si>
  <si>
    <t>On Track</t>
  </si>
  <si>
    <t>Begin testing 4/20</t>
  </si>
  <si>
    <t>At Risk</t>
  </si>
  <si>
    <t>Submit final pay app</t>
  </si>
  <si>
    <t>Release AP order</t>
  </si>
  <si>
    <t>Needs Review</t>
  </si>
  <si>
    <t>Finalize warranty letter</t>
  </si>
  <si>
    <t>Program readers 4/14</t>
  </si>
  <si>
    <t>Complete</t>
  </si>
  <si>
    <t>Archive project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</si>
</sst>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_);[Red]\(\$#,##0\)"/>
    <numFmt numFmtId="165" formatCode="m/d"/>
    <numFmt numFmtId="166" formatCode="\$#,##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sz val="10"/>
      <color rgb="FF000000"/>
      <name val="Aptos"/>
    </font>
    <font>
      <sz val="10"/>
      <color rgb="FF0000FF"/>
      <name val="Aptos"/>
    </font>
    <font>
      <b/>
      <sz val="11"/>
      <color rgb="FFFFFFFF"/>
      <name val="Aptos"/>
    </font>
    <font>
      <sz val="9"/>
      <color rgb="FF666666"/>
      <name val="Aptos"/>
    </font>
    <font>
      <b/>
      <sz val="9"/>
      <color rgb="FF666666"/>
      <name val="Aptos"/>
    </font>
    <font>
      <b/>
      <sz val="18"/>
      <color rgb="FF1F4E78"/>
      <name val="Aptos"/>
    </font>
    <font>
      <b/>
      <sz val="10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0F766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14" fontId="3" fillId="3" borderId="0" xfId="0" applyNumberFormat="1" applyFont="1" applyFill="1"/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3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vertical="center"/>
    </xf>
    <xf numFmtId="3" fontId="3" fillId="0" borderId="1" xfId="0" applyNumberFormat="1" applyFont="1" applyBorder="1" applyAlignment="1">
      <alignment vertical="center"/>
    </xf>
    <xf numFmtId="165" fontId="8" fillId="2" borderId="0" xfId="0" applyNumberFormat="1" applyFont="1" applyFill="1" applyAlignment="1">
      <alignment horizontal="center"/>
    </xf>
    <xf numFmtId="14" fontId="3" fillId="0" borderId="1" xfId="0" applyNumberFormat="1" applyFont="1" applyBorder="1" applyAlignment="1">
      <alignment vertical="center"/>
    </xf>
    <xf numFmtId="3" fontId="7" fillId="3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Budget vs Actual by Project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'Project Dashboard'!$S$10</c:f>
              <c:strCache>
                <c:ptCount val="1"/>
                <c:pt idx="0">
                  <c:v>Revised 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 Dashboard'!$R$11:$R$16</c:f>
              <c:strCache>
                <c:ptCount val="6"/>
                <c:pt idx="0">
                  <c:v>Denver Data Center Buildout</c:v>
                </c:pt>
                <c:pt idx="1">
                  <c:v>Seattle Office Security Upgrade</c:v>
                </c:pt>
                <c:pt idx="2">
                  <c:v>Salt Lake Wireless Refresh</c:v>
                </c:pt>
                <c:pt idx="3">
                  <c:v>San Antonio Cabling Retrofit</c:v>
                </c:pt>
                <c:pt idx="4">
                  <c:v>Atlanta Access Control Install</c:v>
                </c:pt>
                <c:pt idx="5">
                  <c:v>Cheyenne MDF/IDF Cleanup</c:v>
                </c:pt>
              </c:strCache>
            </c:strRef>
          </c:cat>
          <c:val>
            <c:numRef>
              <c:f>'Project Dashboard'!$S$11:$S$16</c:f>
              <c:numCache>
                <c:formatCode>\$#,##0</c:formatCode>
                <c:ptCount val="6"/>
                <c:pt idx="0">
                  <c:v>203000</c:v>
                </c:pt>
                <c:pt idx="1">
                  <c:v>76500</c:v>
                </c:pt>
                <c:pt idx="2">
                  <c:v>94000</c:v>
                </c:pt>
                <c:pt idx="3">
                  <c:v>140000</c:v>
                </c:pt>
                <c:pt idx="4">
                  <c:v>92500</c:v>
                </c:pt>
                <c:pt idx="5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3-46B4-B9B8-8C32A92515F6}"/>
            </c:ext>
          </c:extLst>
        </c:ser>
        <c:ser>
          <c:idx val="1"/>
          <c:order val="1"/>
          <c:tx>
            <c:strRef>
              <c:f>'Project Dashboard'!$T$10</c:f>
              <c:strCache>
                <c:ptCount val="1"/>
                <c:pt idx="0">
                  <c:v>Actual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'Project Dashboard'!$R$11:$R$16</c:f>
              <c:strCache>
                <c:ptCount val="6"/>
                <c:pt idx="0">
                  <c:v>Denver Data Center Buildout</c:v>
                </c:pt>
                <c:pt idx="1">
                  <c:v>Seattle Office Security Upgrade</c:v>
                </c:pt>
                <c:pt idx="2">
                  <c:v>Salt Lake Wireless Refresh</c:v>
                </c:pt>
                <c:pt idx="3">
                  <c:v>San Antonio Cabling Retrofit</c:v>
                </c:pt>
                <c:pt idx="4">
                  <c:v>Atlanta Access Control Install</c:v>
                </c:pt>
                <c:pt idx="5">
                  <c:v>Cheyenne MDF/IDF Cleanup</c:v>
                </c:pt>
              </c:strCache>
            </c:strRef>
          </c:cat>
          <c:val>
            <c:numRef>
              <c:f>'Project Dashboard'!$T$11:$T$16</c:f>
              <c:numCache>
                <c:formatCode>\$#,##0</c:formatCode>
                <c:ptCount val="6"/>
                <c:pt idx="0">
                  <c:v>126500</c:v>
                </c:pt>
                <c:pt idx="1">
                  <c:v>68100</c:v>
                </c:pt>
                <c:pt idx="2">
                  <c:v>18250</c:v>
                </c:pt>
                <c:pt idx="3">
                  <c:v>137900</c:v>
                </c:pt>
                <c:pt idx="4">
                  <c:v>80100</c:v>
                </c:pt>
                <c:pt idx="5">
                  <c:v>36450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3-46B4-B9B8-8C32A925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layout>
            <c:manualLayout>
              <c:xMode val="edge"/>
              <c:yMode val="edge"/>
              <c:x val="4.5351473922902496E-3"/>
              <c:y val="0.4901459297021798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Project</a:t>
                </a:r>
              </a:p>
            </c:rich>
          </c:tx>
          <c:layout>
            <c:manualLayout>
              <c:xMode val="edge"/>
              <c:yMode val="edge"/>
              <c:x val="0.5166411341439463"/>
              <c:y val="0.89266411441864746"/>
            </c:manualLayout>
          </c:layout>
          <c:overlay val="1"/>
        </c:title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Project Status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'Project Dashboard'!$S$3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'Project Dashboard'!$R$4:$R$8</c:f>
              <c:strCache>
                <c:ptCount val="5"/>
                <c:pt idx="0">
                  <c:v>Planning</c:v>
                </c:pt>
                <c:pt idx="1">
                  <c:v>Active</c:v>
                </c:pt>
                <c:pt idx="2">
                  <c:v>Billing</c:v>
                </c:pt>
                <c:pt idx="3">
                  <c:v>Closeout</c:v>
                </c:pt>
                <c:pt idx="4">
                  <c:v>Closed</c:v>
                </c:pt>
              </c:strCache>
            </c:strRef>
          </c:cat>
          <c:val>
            <c:numRef>
              <c:f>'Project Dashboard'!$S$4:$S$8</c:f>
              <c:numCache>
                <c:formatCode>#,##0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5-46C0-AA71-BF5064F09B0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Open A/R by Aging Bucket</a:t>
            </a:r>
          </a:p>
        </c:rich>
      </c:tx>
      <c:layout>
        <c:manualLayout>
          <c:xMode val="edge"/>
          <c:yMode val="edge"/>
          <c:x val="0.30985094534705487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'Billing Tracker'!$O$4</c:f>
              <c:strCache>
                <c:ptCount val="1"/>
                <c:pt idx="0">
                  <c:v>Open $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'Billing Tracker'!$N$5:$N$8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'Billing Tracker'!$O$5:$O$8</c:f>
              <c:numCache>
                <c:formatCode>\$#,##0_);[Red]\(\$#,##0\)</c:formatCode>
                <c:ptCount val="4"/>
                <c:pt idx="0">
                  <c:v>142075</c:v>
                </c:pt>
                <c:pt idx="1">
                  <c:v>37800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6-4E6D-99B6-43844BB44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layout>
            <c:manualLayout>
              <c:xMode val="edge"/>
              <c:yMode val="edge"/>
              <c:x val="6.2457576263298564E-2"/>
              <c:y val="0.44853520359135435"/>
            </c:manualLayout>
          </c:layout>
          <c:overlay val="1"/>
        </c:title>
        <c:numFmt formatCode="\$#,##0_);[Red]\(\$#,##0\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Document Status Summary</a:t>
            </a:r>
          </a:p>
        </c:rich>
      </c:tx>
      <c:layout>
        <c:manualLayout>
          <c:xMode val="edge"/>
          <c:yMode val="edge"/>
          <c:x val="0.35691565853118934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'Document Control'!$N$5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'Document Control'!$M$6:$M$9</c:f>
              <c:strCache>
                <c:ptCount val="4"/>
                <c:pt idx="0">
                  <c:v>Open</c:v>
                </c:pt>
                <c:pt idx="1">
                  <c:v>Pending</c:v>
                </c:pt>
                <c:pt idx="2">
                  <c:v>Approved</c:v>
                </c:pt>
                <c:pt idx="3">
                  <c:v>Closed</c:v>
                </c:pt>
              </c:strCache>
            </c:strRef>
          </c:cat>
          <c:val>
            <c:numRef>
              <c:f>'Document Control'!$N$6:$N$9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0-4C6A-B98C-8B8BDAE4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Stock Value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'Inventory Tracker'!$M$5</c:f>
              <c:strCache>
                <c:ptCount val="1"/>
                <c:pt idx="0">
                  <c:v>Stock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'Inventory Tracker'!$L$6:$L$11</c:f>
              <c:strCache>
                <c:ptCount val="6"/>
                <c:pt idx="0">
                  <c:v>Cabling</c:v>
                </c:pt>
                <c:pt idx="1">
                  <c:v>Hardware</c:v>
                </c:pt>
                <c:pt idx="2">
                  <c:v>Consumable</c:v>
                </c:pt>
                <c:pt idx="3">
                  <c:v>Security</c:v>
                </c:pt>
                <c:pt idx="4">
                  <c:v>Field Support</c:v>
                </c:pt>
                <c:pt idx="5">
                  <c:v>Safety</c:v>
                </c:pt>
              </c:strCache>
            </c:strRef>
          </c:cat>
          <c:val>
            <c:numRef>
              <c:f>'Inventory Tracker'!$M$6:$M$11</c:f>
              <c:numCache>
                <c:formatCode>\$#,##0_);[Red]\(\$#,##0\)</c:formatCode>
                <c:ptCount val="6"/>
                <c:pt idx="0">
                  <c:v>2220</c:v>
                </c:pt>
                <c:pt idx="1">
                  <c:v>1210</c:v>
                </c:pt>
                <c:pt idx="2">
                  <c:v>777</c:v>
                </c:pt>
                <c:pt idx="3">
                  <c:v>3780</c:v>
                </c:pt>
                <c:pt idx="4">
                  <c:v>240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D-49B0-8A1B-3E204DC1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USD</a:t>
                </a:r>
              </a:p>
            </c:rich>
          </c:tx>
          <c:layout>
            <c:manualLayout>
              <c:xMode val="edge"/>
              <c:yMode val="edge"/>
              <c:x val="5.6175134242048737E-2"/>
              <c:y val="0.40116629652062724"/>
            </c:manualLayout>
          </c:layout>
          <c:overlay val="1"/>
        </c:title>
        <c:numFmt formatCode="\$#,##0_);[Red]\(\$#,##0\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49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3283081-E35D-662C-C152-C8FCDA34B59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380999</xdr:rowOff>
    </xdr:from>
    <xdr:to>
      <xdr:col>2</xdr:col>
      <xdr:colOff>0</xdr:colOff>
      <xdr:row>35</xdr:row>
      <xdr:rowOff>171450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</xdr:row>
      <xdr:rowOff>380999</xdr:rowOff>
    </xdr:from>
    <xdr:to>
      <xdr:col>11</xdr:col>
      <xdr:colOff>0</xdr:colOff>
      <xdr:row>35</xdr:row>
      <xdr:rowOff>171450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9</xdr:row>
      <xdr:rowOff>1</xdr:rowOff>
    </xdr:from>
    <xdr:to>
      <xdr:col>11</xdr:col>
      <xdr:colOff>752475</xdr:colOff>
      <xdr:row>10</xdr:row>
      <xdr:rowOff>19051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9</xdr:row>
      <xdr:rowOff>9524</xdr:rowOff>
    </xdr:from>
    <xdr:to>
      <xdr:col>10</xdr:col>
      <xdr:colOff>533400</xdr:colOff>
      <xdr:row>9</xdr:row>
      <xdr:rowOff>333375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8</xdr:row>
      <xdr:rowOff>161925</xdr:rowOff>
    </xdr:from>
    <xdr:to>
      <xdr:col>10</xdr:col>
      <xdr:colOff>38100</xdr:colOff>
      <xdr:row>9</xdr:row>
      <xdr:rowOff>2943225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jects" displayName="tblProjects" ref="A10:P16">
  <autoFilter ref="A10:P16" xr:uid="{00000000-0009-0000-0100-000001000000}"/>
  <tableColumns count="16">
    <tableColumn id="1" xr3:uid="{00000000-0010-0000-0000-000001000000}" name="Project ID"/>
    <tableColumn id="2" xr3:uid="{00000000-0010-0000-0000-000002000000}" name="Project Name"/>
    <tableColumn id="3" xr3:uid="{00000000-0010-0000-0000-000003000000}" name="Office"/>
    <tableColumn id="4" xr3:uid="{00000000-0010-0000-0000-000004000000}" name="Project Manager"/>
    <tableColumn id="5" xr3:uid="{00000000-0010-0000-0000-000005000000}" name="Start Date"/>
    <tableColumn id="6" xr3:uid="{00000000-0010-0000-0000-000006000000}" name="End Date"/>
    <tableColumn id="7" xr3:uid="{00000000-0010-0000-0000-000007000000}" name="Status"/>
    <tableColumn id="8" xr3:uid="{00000000-0010-0000-0000-000008000000}" name="% Complete"/>
    <tableColumn id="9" xr3:uid="{00000000-0010-0000-0000-000009000000}" name="Base Budget"/>
    <tableColumn id="10" xr3:uid="{00000000-0010-0000-0000-00000A000000}" name="Approved COs"/>
    <tableColumn id="11" xr3:uid="{00000000-0010-0000-0000-00000B000000}" name="Revised Budget"/>
    <tableColumn id="12" xr3:uid="{00000000-0010-0000-0000-00000C000000}" name="Actual Cost"/>
    <tableColumn id="13" xr3:uid="{00000000-0010-0000-0000-00000D000000}" name="Cost Variance"/>
    <tableColumn id="14" xr3:uid="{00000000-0010-0000-0000-00000E000000}" name="Billed To Date"/>
    <tableColumn id="15" xr3:uid="{00000000-0010-0000-0000-00000F000000}" name="Cash Received"/>
    <tableColumn id="16" xr3:uid="{00000000-0010-0000-0000-000010000000}" name="Outstanding 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illing" displayName="tblBilling" ref="A4:L14">
  <autoFilter ref="A4:L14" xr:uid="{00000000-0009-0000-0100-000002000000}"/>
  <tableColumns count="12">
    <tableColumn id="1" xr3:uid="{00000000-0010-0000-0100-000001000000}" name="Invoice #"/>
    <tableColumn id="2" xr3:uid="{00000000-0010-0000-0100-000002000000}" name="Project ID"/>
    <tableColumn id="3" xr3:uid="{00000000-0010-0000-0100-000003000000}" name="Project Name"/>
    <tableColumn id="4" xr3:uid="{00000000-0010-0000-0100-000004000000}" name="Invoice Date"/>
    <tableColumn id="5" xr3:uid="{00000000-0010-0000-0100-000005000000}" name="Invoice Amount"/>
    <tableColumn id="6" xr3:uid="{00000000-0010-0000-0100-000006000000}" name="Retainage %"/>
    <tableColumn id="7" xr3:uid="{00000000-0010-0000-0100-000007000000}" name="Net Billable"/>
    <tableColumn id="8" xr3:uid="{00000000-0010-0000-0100-000008000000}" name="Paid Amount"/>
    <tableColumn id="9" xr3:uid="{00000000-0010-0000-0100-000009000000}" name="Payment Date"/>
    <tableColumn id="10" xr3:uid="{00000000-0010-0000-0100-00000A000000}" name="Payment Status"/>
    <tableColumn id="11" xr3:uid="{00000000-0010-0000-0100-00000B000000}" name="Days Outstanding"/>
    <tableColumn id="12" xr3:uid="{00000000-0010-0000-0100-00000C000000}" name="Aging Bucke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ocs" displayName="tblDocs" ref="A4:K16">
  <autoFilter ref="A4:K16" xr:uid="{00000000-0009-0000-0100-000003000000}"/>
  <tableColumns count="11">
    <tableColumn id="1" xr3:uid="{00000000-0010-0000-0200-000001000000}" name="Doc ID"/>
    <tableColumn id="2" xr3:uid="{00000000-0010-0000-0200-000002000000}" name="Project ID"/>
    <tableColumn id="3" xr3:uid="{00000000-0010-0000-0200-000003000000}" name="Project Name"/>
    <tableColumn id="4" xr3:uid="{00000000-0010-0000-0200-000004000000}" name="Document Type"/>
    <tableColumn id="5" xr3:uid="{00000000-0010-0000-0200-000005000000}" name="Description"/>
    <tableColumn id="6" xr3:uid="{00000000-0010-0000-0200-000006000000}" name="Date Submitted"/>
    <tableColumn id="7" xr3:uid="{00000000-0010-0000-0200-000007000000}" name="Due Date"/>
    <tableColumn id="8" xr3:uid="{00000000-0010-0000-0200-000008000000}" name="Status"/>
    <tableColumn id="9" xr3:uid="{00000000-0010-0000-0200-000009000000}" name="Owner"/>
    <tableColumn id="10" xr3:uid="{00000000-0010-0000-0200-00000A000000}" name="Overdue?"/>
    <tableColumn id="11" xr3:uid="{00000000-0010-0000-0200-00000B000000}" name="Days Ope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ventory" displayName="tblInventory" ref="A4:J13">
  <autoFilter ref="A4:J13" xr:uid="{00000000-0009-0000-0100-000004000000}"/>
  <tableColumns count="10">
    <tableColumn id="1" xr3:uid="{00000000-0010-0000-0300-000001000000}" name="Item ID"/>
    <tableColumn id="2" xr3:uid="{00000000-0010-0000-0300-000002000000}" name="Item Name"/>
    <tableColumn id="3" xr3:uid="{00000000-0010-0000-0300-000003000000}" name="Category"/>
    <tableColumn id="4" xr3:uid="{00000000-0010-0000-0300-000004000000}" name="Location"/>
    <tableColumn id="5" xr3:uid="{00000000-0010-0000-0300-000005000000}" name="Unit Cost"/>
    <tableColumn id="6" xr3:uid="{00000000-0010-0000-0300-000006000000}" name="Qty On Hand"/>
    <tableColumn id="7" xr3:uid="{00000000-0010-0000-0300-000007000000}" name="Reorder Point"/>
    <tableColumn id="8" xr3:uid="{00000000-0010-0000-0300-000008000000}" name="Qty On Order"/>
    <tableColumn id="9" xr3:uid="{00000000-0010-0000-0300-000009000000}" name="Reorder Flag"/>
    <tableColumn id="10" xr3:uid="{00000000-0010-0000-0300-00000A000000}" name="Stock Valu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ipeline" displayName="tblPipeline" ref="A4:J10">
  <autoFilter ref="A4:J10" xr:uid="{00000000-0009-0000-0100-000005000000}"/>
  <tableColumns count="10">
    <tableColumn id="1" xr3:uid="{00000000-0010-0000-0400-000001000000}" name="Project ID"/>
    <tableColumn id="2" xr3:uid="{00000000-0010-0000-0400-000002000000}" name="Project Name"/>
    <tableColumn id="3" xr3:uid="{00000000-0010-0000-0400-000003000000}" name="Current Stage"/>
    <tableColumn id="4" xr3:uid="{00000000-0010-0000-0400-000004000000}" name="Stage Owner"/>
    <tableColumn id="5" xr3:uid="{00000000-0010-0000-0400-000005000000}" name="Stage Start"/>
    <tableColumn id="6" xr3:uid="{00000000-0010-0000-0400-000006000000}" name="Planned Finish"/>
    <tableColumn id="7" xr3:uid="{00000000-0010-0000-0400-000007000000}" name="Actual Finish"/>
    <tableColumn id="8" xr3:uid="{00000000-0010-0000-0400-000008000000}" name="Days in Stage"/>
    <tableColumn id="9" xr3:uid="{00000000-0010-0000-0400-000009000000}" name="Stage Status"/>
    <tableColumn id="10" xr3:uid="{00000000-0010-0000-0400-00000A000000}" name="Next Milest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B1"/>
    </sheetView>
  </sheetViews>
  <sheetFormatPr defaultRowHeight="15" x14ac:dyDescent="0.25"/>
  <cols>
    <col min="1" max="1" width="18" customWidth="1"/>
    <col min="2" max="2" width="20.28515625" customWidth="1"/>
    <col min="3" max="4" width="18" customWidth="1"/>
    <col min="5" max="5" width="16" customWidth="1"/>
  </cols>
  <sheetData>
    <row r="1" spans="1:5" ht="24" customHeight="1" x14ac:dyDescent="0.25">
      <c r="A1" s="39" t="s">
        <v>0</v>
      </c>
      <c r="B1" s="40"/>
    </row>
    <row r="3" spans="1:5" x14ac:dyDescent="0.25">
      <c r="A3" s="1" t="s">
        <v>1</v>
      </c>
      <c r="B3" s="2">
        <v>46119</v>
      </c>
    </row>
    <row r="5" spans="1: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spans="1:5" x14ac:dyDescent="0.25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</row>
    <row r="8" spans="1:5" x14ac:dyDescent="0.25">
      <c r="A8" s="4" t="s">
        <v>17</v>
      </c>
      <c r="B8" s="4" t="s">
        <v>18</v>
      </c>
      <c r="C8" s="4" t="s">
        <v>18</v>
      </c>
      <c r="D8" s="4" t="s">
        <v>19</v>
      </c>
      <c r="E8" s="4" t="s">
        <v>20</v>
      </c>
    </row>
    <row r="9" spans="1:5" x14ac:dyDescent="0.25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</row>
    <row r="10" spans="1:5" x14ac:dyDescent="0.25">
      <c r="A10" s="4" t="s">
        <v>23</v>
      </c>
      <c r="B10" s="4" t="s">
        <v>26</v>
      </c>
      <c r="C10" s="4"/>
      <c r="D10" s="4" t="s">
        <v>17</v>
      </c>
      <c r="E10" s="4"/>
    </row>
    <row r="11" spans="1:5" x14ac:dyDescent="0.25">
      <c r="A11" s="4" t="s">
        <v>27</v>
      </c>
      <c r="B11" s="4" t="s">
        <v>28</v>
      </c>
      <c r="C11" s="4"/>
      <c r="D11" s="4" t="s">
        <v>21</v>
      </c>
      <c r="E11" s="4"/>
    </row>
  </sheetData>
  <mergeCells count="1">
    <mergeCell ref="A1:B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showGridLines="0" topLeftCell="A3" workbookViewId="0">
      <selection sqref="A1:P1"/>
    </sheetView>
  </sheetViews>
  <sheetFormatPr defaultRowHeight="15" x14ac:dyDescent="0.25"/>
  <cols>
    <col min="1" max="1" width="11" customWidth="1"/>
    <col min="2" max="2" width="31" customWidth="1"/>
    <col min="3" max="3" width="14" customWidth="1"/>
    <col min="4" max="4" width="17" customWidth="1"/>
    <col min="5" max="7" width="12" customWidth="1"/>
    <col min="8" max="8" width="11" customWidth="1"/>
    <col min="9" max="10" width="13" customWidth="1"/>
    <col min="11" max="11" width="14" customWidth="1"/>
    <col min="12" max="16" width="13" customWidth="1"/>
    <col min="18" max="18" width="16" customWidth="1"/>
    <col min="19" max="21" width="13" customWidth="1"/>
  </cols>
  <sheetData>
    <row r="1" spans="1:21" ht="24" customHeight="1" x14ac:dyDescent="0.25">
      <c r="A1" s="37" t="s">
        <v>29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5"/>
      <c r="R1" s="5"/>
      <c r="S1" s="5"/>
      <c r="T1" s="5"/>
      <c r="U1" s="5"/>
    </row>
    <row r="2" spans="1:21" x14ac:dyDescent="0.25">
      <c r="A2" s="6" t="s">
        <v>1</v>
      </c>
      <c r="B2" s="7">
        <f>Controls!$B$3</f>
        <v>46119</v>
      </c>
      <c r="C2" s="5"/>
      <c r="D2" s="8" t="s">
        <v>30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5">
      <c r="A3" s="9" t="s">
        <v>31</v>
      </c>
      <c r="B3" s="5"/>
      <c r="C3" s="5"/>
      <c r="D3" s="9" t="s">
        <v>32</v>
      </c>
      <c r="E3" s="5"/>
      <c r="F3" s="5"/>
      <c r="G3" s="9" t="s">
        <v>33</v>
      </c>
      <c r="H3" s="5"/>
      <c r="I3" s="5"/>
      <c r="J3" s="9" t="s">
        <v>34</v>
      </c>
      <c r="K3" s="5"/>
      <c r="L3" s="5"/>
      <c r="M3" s="9" t="s">
        <v>35</v>
      </c>
      <c r="N3" s="5"/>
      <c r="O3" s="5"/>
      <c r="P3" s="5"/>
      <c r="Q3" s="5"/>
      <c r="R3" s="10" t="s">
        <v>36</v>
      </c>
      <c r="S3" s="10" t="s">
        <v>37</v>
      </c>
      <c r="T3" s="5"/>
      <c r="U3" s="5"/>
    </row>
    <row r="4" spans="1:21" ht="24" x14ac:dyDescent="0.4">
      <c r="A4" s="34">
        <f>COUNTIF(G11:G16,"&lt;&gt;Closed")</f>
        <v>5</v>
      </c>
      <c r="B4" s="5"/>
      <c r="C4" s="5"/>
      <c r="D4" s="21">
        <f>SUM(K11:K16)</f>
        <v>644000</v>
      </c>
      <c r="E4" s="5"/>
      <c r="F4" s="5"/>
      <c r="G4" s="21">
        <f>SUM(L11:L16)</f>
        <v>467300</v>
      </c>
      <c r="H4" s="5"/>
      <c r="I4" s="5"/>
      <c r="J4" s="21">
        <f>SUM(M11:M16)</f>
        <v>176700</v>
      </c>
      <c r="K4" s="5"/>
      <c r="L4" s="5"/>
      <c r="M4" s="21">
        <f>SUM(P11:P16)</f>
        <v>81000</v>
      </c>
      <c r="N4" s="5"/>
      <c r="O4" s="5"/>
      <c r="P4" s="5"/>
      <c r="Q4" s="5"/>
      <c r="R4" s="5" t="s">
        <v>7</v>
      </c>
      <c r="S4" s="35">
        <f>COUNTIF(G11:G16,R4)</f>
        <v>1</v>
      </c>
      <c r="T4" s="5"/>
      <c r="U4" s="5"/>
    </row>
    <row r="5" spans="1:21" x14ac:dyDescent="0.25">
      <c r="A5" s="9" t="s">
        <v>38</v>
      </c>
      <c r="B5" s="5"/>
      <c r="C5" s="5"/>
      <c r="D5" s="9" t="s">
        <v>39</v>
      </c>
      <c r="E5" s="5"/>
      <c r="F5" s="5"/>
      <c r="G5" s="9" t="s">
        <v>40</v>
      </c>
      <c r="H5" s="5"/>
      <c r="I5" s="5"/>
      <c r="J5" s="9" t="s">
        <v>41</v>
      </c>
      <c r="K5" s="5"/>
      <c r="L5" s="5"/>
      <c r="M5" s="9" t="s">
        <v>42</v>
      </c>
      <c r="N5" s="5"/>
      <c r="O5" s="5"/>
      <c r="P5" s="5"/>
      <c r="Q5" s="5"/>
      <c r="R5" s="5" t="s">
        <v>12</v>
      </c>
      <c r="S5" s="35">
        <f>COUNTIF(G11:G16,R5)</f>
        <v>2</v>
      </c>
      <c r="T5" s="5"/>
      <c r="U5" s="5"/>
    </row>
    <row r="6" spans="1:21" ht="24" x14ac:dyDescent="0.4">
      <c r="A6" s="34">
        <f>COUNTIF('Document Control'!J5:J16,"Yes")</f>
        <v>3</v>
      </c>
      <c r="B6" s="5"/>
      <c r="C6" s="5"/>
      <c r="D6" s="34">
        <f>COUNTIF('Inventory Tracker'!I5:I13,"Reorder")</f>
        <v>4</v>
      </c>
      <c r="E6" s="5"/>
      <c r="F6" s="5"/>
      <c r="G6" s="34">
        <f>COUNTIF('Billing Tracker'!J5:J14,"&lt;&gt;Paid")</f>
        <v>6</v>
      </c>
      <c r="H6" s="5"/>
      <c r="I6" s="5"/>
      <c r="J6" s="12">
        <f>AVERAGE(H11:H16)</f>
        <v>0.76166666666666671</v>
      </c>
      <c r="K6" s="5"/>
      <c r="L6" s="5"/>
      <c r="M6" s="34">
        <f>COUNTIF(M11:M16,"&lt;0")</f>
        <v>0</v>
      </c>
      <c r="N6" s="5"/>
      <c r="O6" s="5"/>
      <c r="P6" s="5"/>
      <c r="Q6" s="5"/>
      <c r="R6" s="5" t="s">
        <v>17</v>
      </c>
      <c r="S6" s="35">
        <f>COUNTIF(G11:G16,R6)</f>
        <v>1</v>
      </c>
      <c r="T6" s="5"/>
      <c r="U6" s="5"/>
    </row>
    <row r="7" spans="1:2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21</v>
      </c>
      <c r="S7" s="35">
        <f>COUNTIF(G11:G16,R7)</f>
        <v>1</v>
      </c>
      <c r="T7" s="5"/>
      <c r="U7" s="5"/>
    </row>
    <row r="8" spans="1:2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23</v>
      </c>
      <c r="S8" s="35">
        <f>COUNTIF(G11:G16,R8)</f>
        <v>1</v>
      </c>
      <c r="T8" s="5"/>
      <c r="U8" s="5"/>
    </row>
    <row r="9" spans="1:2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30" customHeight="1" x14ac:dyDescent="0.25">
      <c r="A10" s="13" t="s">
        <v>43</v>
      </c>
      <c r="B10" s="13" t="s">
        <v>44</v>
      </c>
      <c r="C10" s="13" t="s">
        <v>45</v>
      </c>
      <c r="D10" s="13" t="s">
        <v>46</v>
      </c>
      <c r="E10" s="13" t="s">
        <v>47</v>
      </c>
      <c r="F10" s="13" t="s">
        <v>48</v>
      </c>
      <c r="G10" s="13" t="s">
        <v>36</v>
      </c>
      <c r="H10" s="13" t="s">
        <v>49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 t="s">
        <v>56</v>
      </c>
      <c r="P10" s="13" t="s">
        <v>57</v>
      </c>
      <c r="Q10" s="5"/>
      <c r="R10" s="10" t="s">
        <v>58</v>
      </c>
      <c r="S10" s="10" t="s">
        <v>52</v>
      </c>
      <c r="T10" s="10" t="s">
        <v>53</v>
      </c>
      <c r="U10" s="10" t="s">
        <v>57</v>
      </c>
    </row>
    <row r="11" spans="1:21" x14ac:dyDescent="0.25">
      <c r="A11" s="14" t="s">
        <v>59</v>
      </c>
      <c r="B11" s="15" t="s">
        <v>60</v>
      </c>
      <c r="C11" s="14" t="s">
        <v>61</v>
      </c>
      <c r="D11" s="14" t="s">
        <v>62</v>
      </c>
      <c r="E11" s="16">
        <v>46034</v>
      </c>
      <c r="F11" s="16">
        <v>46171</v>
      </c>
      <c r="G11" s="17" t="s">
        <v>12</v>
      </c>
      <c r="H11" s="18">
        <v>0.65</v>
      </c>
      <c r="I11" s="19">
        <v>185000</v>
      </c>
      <c r="J11" s="19">
        <v>18000</v>
      </c>
      <c r="K11" s="20">
        <f t="shared" ref="K11:K16" si="0">I11+J11</f>
        <v>203000</v>
      </c>
      <c r="L11" s="19">
        <v>126500</v>
      </c>
      <c r="M11" s="20">
        <f t="shared" ref="M11:M16" si="1">K11-L11</f>
        <v>76500</v>
      </c>
      <c r="N11" s="19">
        <v>118000</v>
      </c>
      <c r="O11" s="19">
        <v>90000</v>
      </c>
      <c r="P11" s="20">
        <f t="shared" ref="P11:P16" si="2">N11-O11</f>
        <v>28000</v>
      </c>
      <c r="Q11" s="5"/>
      <c r="R11" s="5" t="str">
        <f t="shared" ref="R11:R16" si="3">B11</f>
        <v>Denver Data Center Buildout</v>
      </c>
      <c r="S11" s="36">
        <f t="shared" ref="S11:T16" si="4">K11</f>
        <v>203000</v>
      </c>
      <c r="T11" s="36">
        <f t="shared" si="4"/>
        <v>126500</v>
      </c>
      <c r="U11" s="36">
        <f t="shared" ref="U11:U16" si="5">P11</f>
        <v>28000</v>
      </c>
    </row>
    <row r="12" spans="1:21" x14ac:dyDescent="0.25">
      <c r="A12" s="14" t="s">
        <v>63</v>
      </c>
      <c r="B12" s="15" t="s">
        <v>64</v>
      </c>
      <c r="C12" s="14" t="s">
        <v>65</v>
      </c>
      <c r="D12" s="14" t="s">
        <v>66</v>
      </c>
      <c r="E12" s="16">
        <v>46055</v>
      </c>
      <c r="F12" s="16">
        <v>46136</v>
      </c>
      <c r="G12" s="17" t="s">
        <v>17</v>
      </c>
      <c r="H12" s="18">
        <v>0.92</v>
      </c>
      <c r="I12" s="19">
        <v>72000</v>
      </c>
      <c r="J12" s="19">
        <v>4500</v>
      </c>
      <c r="K12" s="20">
        <f t="shared" si="0"/>
        <v>76500</v>
      </c>
      <c r="L12" s="19">
        <v>68100</v>
      </c>
      <c r="M12" s="20">
        <f t="shared" si="1"/>
        <v>8400</v>
      </c>
      <c r="N12" s="19">
        <v>74500</v>
      </c>
      <c r="O12" s="19">
        <v>61000</v>
      </c>
      <c r="P12" s="20">
        <f t="shared" si="2"/>
        <v>13500</v>
      </c>
      <c r="Q12" s="5"/>
      <c r="R12" s="5" t="str">
        <f t="shared" si="3"/>
        <v>Seattle Office Security Upgrade</v>
      </c>
      <c r="S12" s="36">
        <f t="shared" si="4"/>
        <v>76500</v>
      </c>
      <c r="T12" s="36">
        <f t="shared" si="4"/>
        <v>68100</v>
      </c>
      <c r="U12" s="36">
        <f t="shared" si="5"/>
        <v>13500</v>
      </c>
    </row>
    <row r="13" spans="1:21" x14ac:dyDescent="0.25">
      <c r="A13" s="14" t="s">
        <v>67</v>
      </c>
      <c r="B13" s="15" t="s">
        <v>68</v>
      </c>
      <c r="C13" s="14" t="s">
        <v>69</v>
      </c>
      <c r="D13" s="14" t="s">
        <v>70</v>
      </c>
      <c r="E13" s="16">
        <v>46071</v>
      </c>
      <c r="F13" s="16">
        <v>46185</v>
      </c>
      <c r="G13" s="17" t="s">
        <v>7</v>
      </c>
      <c r="H13" s="18">
        <v>0.24</v>
      </c>
      <c r="I13" s="19">
        <v>94000</v>
      </c>
      <c r="J13" s="19">
        <v>0</v>
      </c>
      <c r="K13" s="20">
        <f t="shared" si="0"/>
        <v>94000</v>
      </c>
      <c r="L13" s="19">
        <v>18250</v>
      </c>
      <c r="M13" s="20">
        <f t="shared" si="1"/>
        <v>75750</v>
      </c>
      <c r="N13" s="19">
        <v>15000</v>
      </c>
      <c r="O13" s="19">
        <v>0</v>
      </c>
      <c r="P13" s="20">
        <f t="shared" si="2"/>
        <v>15000</v>
      </c>
      <c r="Q13" s="5"/>
      <c r="R13" s="5" t="str">
        <f t="shared" si="3"/>
        <v>Salt Lake Wireless Refresh</v>
      </c>
      <c r="S13" s="36">
        <f t="shared" si="4"/>
        <v>94000</v>
      </c>
      <c r="T13" s="36">
        <f t="shared" si="4"/>
        <v>18250</v>
      </c>
      <c r="U13" s="36">
        <f t="shared" si="5"/>
        <v>15000</v>
      </c>
    </row>
    <row r="14" spans="1:21" x14ac:dyDescent="0.25">
      <c r="A14" s="14" t="s">
        <v>71</v>
      </c>
      <c r="B14" s="15" t="s">
        <v>72</v>
      </c>
      <c r="C14" s="14" t="s">
        <v>73</v>
      </c>
      <c r="D14" s="14" t="s">
        <v>74</v>
      </c>
      <c r="E14" s="16">
        <v>45999</v>
      </c>
      <c r="F14" s="16">
        <v>46101</v>
      </c>
      <c r="G14" s="17" t="s">
        <v>21</v>
      </c>
      <c r="H14" s="18">
        <v>0.98</v>
      </c>
      <c r="I14" s="19">
        <v>128000</v>
      </c>
      <c r="J14" s="19">
        <v>12000</v>
      </c>
      <c r="K14" s="20">
        <f t="shared" si="0"/>
        <v>140000</v>
      </c>
      <c r="L14" s="19">
        <v>137900</v>
      </c>
      <c r="M14" s="20">
        <f t="shared" si="1"/>
        <v>2100</v>
      </c>
      <c r="N14" s="19">
        <v>141000</v>
      </c>
      <c r="O14" s="19">
        <v>134500</v>
      </c>
      <c r="P14" s="20">
        <f t="shared" si="2"/>
        <v>6500</v>
      </c>
      <c r="Q14" s="5"/>
      <c r="R14" s="5" t="str">
        <f t="shared" si="3"/>
        <v>San Antonio Cabling Retrofit</v>
      </c>
      <c r="S14" s="36">
        <f t="shared" si="4"/>
        <v>140000</v>
      </c>
      <c r="T14" s="36">
        <f t="shared" si="4"/>
        <v>137900</v>
      </c>
      <c r="U14" s="36">
        <f t="shared" si="5"/>
        <v>6500</v>
      </c>
    </row>
    <row r="15" spans="1:21" x14ac:dyDescent="0.25">
      <c r="A15" s="14" t="s">
        <v>75</v>
      </c>
      <c r="B15" s="15" t="s">
        <v>76</v>
      </c>
      <c r="C15" s="14" t="s">
        <v>77</v>
      </c>
      <c r="D15" s="14" t="s">
        <v>78</v>
      </c>
      <c r="E15" s="16">
        <v>46049</v>
      </c>
      <c r="F15" s="16">
        <v>46142</v>
      </c>
      <c r="G15" s="17" t="s">
        <v>12</v>
      </c>
      <c r="H15" s="18">
        <v>0.78</v>
      </c>
      <c r="I15" s="19">
        <v>86000</v>
      </c>
      <c r="J15" s="19">
        <v>6500</v>
      </c>
      <c r="K15" s="20">
        <f t="shared" si="0"/>
        <v>92500</v>
      </c>
      <c r="L15" s="19">
        <v>80100</v>
      </c>
      <c r="M15" s="20">
        <f t="shared" si="1"/>
        <v>12400</v>
      </c>
      <c r="N15" s="19">
        <v>70000</v>
      </c>
      <c r="O15" s="19">
        <v>52000</v>
      </c>
      <c r="P15" s="20">
        <f t="shared" si="2"/>
        <v>18000</v>
      </c>
      <c r="Q15" s="5"/>
      <c r="R15" s="5" t="str">
        <f t="shared" si="3"/>
        <v>Atlanta Access Control Install</v>
      </c>
      <c r="S15" s="36">
        <f t="shared" si="4"/>
        <v>92500</v>
      </c>
      <c r="T15" s="36">
        <f t="shared" si="4"/>
        <v>80100</v>
      </c>
      <c r="U15" s="36">
        <f t="shared" si="5"/>
        <v>18000</v>
      </c>
    </row>
    <row r="16" spans="1:21" x14ac:dyDescent="0.25">
      <c r="A16" s="14" t="s">
        <v>79</v>
      </c>
      <c r="B16" s="15" t="s">
        <v>80</v>
      </c>
      <c r="C16" s="14" t="s">
        <v>81</v>
      </c>
      <c r="D16" s="14" t="s">
        <v>82</v>
      </c>
      <c r="E16" s="16">
        <v>46028</v>
      </c>
      <c r="F16" s="16">
        <v>46081</v>
      </c>
      <c r="G16" s="17" t="s">
        <v>23</v>
      </c>
      <c r="H16" s="18">
        <v>1</v>
      </c>
      <c r="I16" s="19">
        <v>38000</v>
      </c>
      <c r="J16" s="19">
        <v>0</v>
      </c>
      <c r="K16" s="20">
        <f t="shared" si="0"/>
        <v>38000</v>
      </c>
      <c r="L16" s="19">
        <v>36450</v>
      </c>
      <c r="M16" s="20">
        <f t="shared" si="1"/>
        <v>1550</v>
      </c>
      <c r="N16" s="19">
        <v>38200</v>
      </c>
      <c r="O16" s="19">
        <v>38200</v>
      </c>
      <c r="P16" s="20">
        <f t="shared" si="2"/>
        <v>0</v>
      </c>
      <c r="Q16" s="5"/>
      <c r="R16" s="5" t="str">
        <f t="shared" si="3"/>
        <v>Cheyenne MDF/IDF Cleanup</v>
      </c>
      <c r="S16" s="36">
        <f t="shared" si="4"/>
        <v>38000</v>
      </c>
      <c r="T16" s="36">
        <f t="shared" si="4"/>
        <v>36450</v>
      </c>
      <c r="U16" s="36">
        <f t="shared" si="5"/>
        <v>0</v>
      </c>
    </row>
  </sheetData>
  <mergeCells count="1">
    <mergeCell ref="A1:P1"/>
  </mergeCells>
  <conditionalFormatting sqref="H11:H1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11:M16">
    <cfRule type="cellIs" dxfId="8" priority="1" operator="lessThan">
      <formula>0</formula>
    </cfRule>
  </conditionalFormatting>
  <conditionalFormatting sqref="P11:P16">
    <cfRule type="cellIs" dxfId="7" priority="3" operator="greaterThan">
      <formula>20000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showGridLines="0" workbookViewId="0">
      <selection sqref="A1:L1"/>
    </sheetView>
  </sheetViews>
  <sheetFormatPr defaultRowHeight="15" x14ac:dyDescent="0.25"/>
  <cols>
    <col min="1" max="1" width="12" customWidth="1"/>
    <col min="2" max="2" width="11" customWidth="1"/>
    <col min="3" max="3" width="30" customWidth="1"/>
    <col min="4" max="4" width="12" customWidth="1"/>
    <col min="5" max="5" width="13" customWidth="1"/>
    <col min="6" max="6" width="11" customWidth="1"/>
    <col min="7" max="7" width="13" customWidth="1"/>
    <col min="8" max="9" width="12" customWidth="1"/>
    <col min="10" max="11" width="13" customWidth="1"/>
    <col min="12" max="12" width="12" customWidth="1"/>
    <col min="14" max="15" width="12" customWidth="1"/>
  </cols>
  <sheetData>
    <row r="1" spans="1:15" ht="24" customHeight="1" x14ac:dyDescent="0.25">
      <c r="A1" s="39" t="s">
        <v>83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5"/>
      <c r="N1" s="5"/>
      <c r="O1" s="5"/>
    </row>
    <row r="2" spans="1:15" x14ac:dyDescent="0.25">
      <c r="A2" s="9" t="s">
        <v>84</v>
      </c>
      <c r="B2" s="5"/>
      <c r="C2" s="5"/>
      <c r="D2" s="9" t="s">
        <v>85</v>
      </c>
      <c r="E2" s="5"/>
      <c r="F2" s="5"/>
      <c r="G2" s="9" t="s">
        <v>56</v>
      </c>
      <c r="H2" s="5"/>
      <c r="I2" s="5"/>
      <c r="J2" s="9" t="s">
        <v>86</v>
      </c>
      <c r="K2" s="5"/>
      <c r="L2" s="5"/>
      <c r="M2" s="5"/>
      <c r="N2" s="5"/>
      <c r="O2" s="5"/>
    </row>
    <row r="3" spans="1:15" ht="24" x14ac:dyDescent="0.4">
      <c r="A3" s="21">
        <f>SUM(E5:E14)</f>
        <v>338700</v>
      </c>
      <c r="B3" s="5"/>
      <c r="C3" s="5"/>
      <c r="D3" s="21">
        <f>SUM(G5:G14)</f>
        <v>311875</v>
      </c>
      <c r="E3" s="5"/>
      <c r="F3" s="5"/>
      <c r="G3" s="21">
        <f>SUM(H5:H14)</f>
        <v>175500</v>
      </c>
      <c r="H3" s="5"/>
      <c r="I3" s="5"/>
      <c r="J3" s="21">
        <f>SUM(G5:G14)-SUM(H5:H14)</f>
        <v>136375</v>
      </c>
      <c r="K3" s="5"/>
      <c r="L3" s="5"/>
      <c r="M3" s="5"/>
      <c r="N3" s="5"/>
      <c r="O3" s="5"/>
    </row>
    <row r="4" spans="1:15" ht="30" customHeight="1" x14ac:dyDescent="0.25">
      <c r="A4" s="13" t="s">
        <v>87</v>
      </c>
      <c r="B4" s="13" t="s">
        <v>43</v>
      </c>
      <c r="C4" s="13" t="s">
        <v>44</v>
      </c>
      <c r="D4" s="13" t="s">
        <v>88</v>
      </c>
      <c r="E4" s="13" t="s">
        <v>89</v>
      </c>
      <c r="F4" s="13" t="s">
        <v>90</v>
      </c>
      <c r="G4" s="13" t="s">
        <v>85</v>
      </c>
      <c r="H4" s="13" t="s">
        <v>91</v>
      </c>
      <c r="I4" s="13" t="s">
        <v>92</v>
      </c>
      <c r="J4" s="13" t="s">
        <v>93</v>
      </c>
      <c r="K4" s="13" t="s">
        <v>94</v>
      </c>
      <c r="L4" s="13" t="s">
        <v>95</v>
      </c>
      <c r="M4" s="5"/>
      <c r="N4" s="10" t="s">
        <v>95</v>
      </c>
      <c r="O4" s="10" t="s">
        <v>96</v>
      </c>
    </row>
    <row r="5" spans="1:15" x14ac:dyDescent="0.25">
      <c r="A5" s="22" t="s">
        <v>97</v>
      </c>
      <c r="B5" s="22" t="s">
        <v>59</v>
      </c>
      <c r="C5" s="22" t="s">
        <v>60</v>
      </c>
      <c r="D5" s="23">
        <v>46081</v>
      </c>
      <c r="E5" s="24">
        <v>42000</v>
      </c>
      <c r="F5" s="25">
        <v>0.1</v>
      </c>
      <c r="G5" s="26">
        <f t="shared" ref="G5:G14" si="0">E5*(1-F5)</f>
        <v>37800</v>
      </c>
      <c r="H5" s="24">
        <v>25000</v>
      </c>
      <c r="I5" s="23">
        <v>46101</v>
      </c>
      <c r="J5" s="27" t="s">
        <v>22</v>
      </c>
      <c r="K5" s="28">
        <f>IF(J5="Paid",I5-D5,Controls!$B$3-D5)</f>
        <v>38</v>
      </c>
      <c r="L5" s="29" t="str">
        <f t="shared" ref="L5:L14" si="1">IF(K5&lt;=30,"0-30",IF(K5&lt;=60,"31-60",IF(K5&lt;=90,"61-90","90+")))</f>
        <v>31-60</v>
      </c>
      <c r="M5" s="5"/>
      <c r="N5" s="5" t="s">
        <v>98</v>
      </c>
      <c r="O5" s="30">
        <f>SUMIFS(G$5:G$14,L$5:L$14,N5,J$5:J$14,"&lt;&gt;Paid")</f>
        <v>142075</v>
      </c>
    </row>
    <row r="6" spans="1:15" x14ac:dyDescent="0.25">
      <c r="A6" s="22" t="s">
        <v>99</v>
      </c>
      <c r="B6" s="22" t="s">
        <v>59</v>
      </c>
      <c r="C6" s="22" t="s">
        <v>60</v>
      </c>
      <c r="D6" s="23">
        <v>46112</v>
      </c>
      <c r="E6" s="24">
        <v>38000</v>
      </c>
      <c r="F6" s="25">
        <v>0.1</v>
      </c>
      <c r="G6" s="26">
        <f t="shared" si="0"/>
        <v>34200</v>
      </c>
      <c r="H6" s="24">
        <v>0</v>
      </c>
      <c r="I6" s="22"/>
      <c r="J6" s="27" t="s">
        <v>13</v>
      </c>
      <c r="K6" s="28">
        <f>IF(J6="Paid",I6-D6,Controls!$B$3-D6)</f>
        <v>7</v>
      </c>
      <c r="L6" s="29" t="str">
        <f t="shared" si="1"/>
        <v>0-30</v>
      </c>
      <c r="M6" s="5"/>
      <c r="N6" s="5" t="s">
        <v>100</v>
      </c>
      <c r="O6" s="30">
        <f>SUMIFS(G$5:G$14,L$5:L$14,N6,J$5:J$14,"&lt;&gt;Paid")</f>
        <v>37800</v>
      </c>
    </row>
    <row r="7" spans="1:15" x14ac:dyDescent="0.25">
      <c r="A7" s="22" t="s">
        <v>101</v>
      </c>
      <c r="B7" s="22" t="s">
        <v>63</v>
      </c>
      <c r="C7" s="22" t="s">
        <v>64</v>
      </c>
      <c r="D7" s="23">
        <v>46096</v>
      </c>
      <c r="E7" s="24">
        <v>26000</v>
      </c>
      <c r="F7" s="25">
        <v>0.05</v>
      </c>
      <c r="G7" s="26">
        <f t="shared" si="0"/>
        <v>24700</v>
      </c>
      <c r="H7" s="24">
        <v>26000</v>
      </c>
      <c r="I7" s="23">
        <v>46114</v>
      </c>
      <c r="J7" s="27" t="s">
        <v>26</v>
      </c>
      <c r="K7" s="28">
        <f>IF(J7="Paid",I7-D7,Controls!$B$3-D7)</f>
        <v>18</v>
      </c>
      <c r="L7" s="29" t="str">
        <f t="shared" si="1"/>
        <v>0-30</v>
      </c>
      <c r="M7" s="5"/>
      <c r="N7" s="5" t="s">
        <v>102</v>
      </c>
      <c r="O7" s="30">
        <f>SUMIFS(G$5:G$14,L$5:L$14,N7,J$5:J$14,"&lt;&gt;Paid")</f>
        <v>0</v>
      </c>
    </row>
    <row r="8" spans="1:15" x14ac:dyDescent="0.25">
      <c r="A8" s="22" t="s">
        <v>103</v>
      </c>
      <c r="B8" s="22" t="s">
        <v>67</v>
      </c>
      <c r="C8" s="22" t="s">
        <v>68</v>
      </c>
      <c r="D8" s="23">
        <v>46110</v>
      </c>
      <c r="E8" s="24">
        <v>15000</v>
      </c>
      <c r="F8" s="25">
        <v>0</v>
      </c>
      <c r="G8" s="26">
        <f t="shared" si="0"/>
        <v>15000</v>
      </c>
      <c r="H8" s="24">
        <v>0</v>
      </c>
      <c r="I8" s="22"/>
      <c r="J8" s="27" t="s">
        <v>18</v>
      </c>
      <c r="K8" s="28">
        <f>IF(J8="Paid",I8-D8,Controls!$B$3-D8)</f>
        <v>9</v>
      </c>
      <c r="L8" s="29" t="str">
        <f t="shared" si="1"/>
        <v>0-30</v>
      </c>
      <c r="M8" s="5"/>
      <c r="N8" s="5" t="s">
        <v>104</v>
      </c>
      <c r="O8" s="30">
        <f>SUMIFS(G$5:G$14,L$5:L$14,N8,J$5:J$14,"&lt;&gt;Paid")</f>
        <v>0</v>
      </c>
    </row>
    <row r="9" spans="1:15" x14ac:dyDescent="0.25">
      <c r="A9" s="22" t="s">
        <v>105</v>
      </c>
      <c r="B9" s="22" t="s">
        <v>71</v>
      </c>
      <c r="C9" s="22" t="s">
        <v>72</v>
      </c>
      <c r="D9" s="23">
        <v>46071</v>
      </c>
      <c r="E9" s="24">
        <v>47000</v>
      </c>
      <c r="F9" s="25">
        <v>0.1</v>
      </c>
      <c r="G9" s="26">
        <f t="shared" si="0"/>
        <v>42300</v>
      </c>
      <c r="H9" s="24">
        <v>42300</v>
      </c>
      <c r="I9" s="23">
        <v>46109</v>
      </c>
      <c r="J9" s="27" t="s">
        <v>26</v>
      </c>
      <c r="K9" s="28">
        <f>IF(J9="Paid",I9-D9,Controls!$B$3-D9)</f>
        <v>38</v>
      </c>
      <c r="L9" s="29" t="str">
        <f t="shared" si="1"/>
        <v>31-60</v>
      </c>
      <c r="M9" s="5"/>
      <c r="N9" s="5"/>
      <c r="O9" s="5"/>
    </row>
    <row r="10" spans="1:15" ht="273" customHeight="1" x14ac:dyDescent="0.25">
      <c r="A10" s="22" t="s">
        <v>106</v>
      </c>
      <c r="B10" s="22" t="s">
        <v>75</v>
      </c>
      <c r="C10" s="22" t="s">
        <v>76</v>
      </c>
      <c r="D10" s="23">
        <v>46089</v>
      </c>
      <c r="E10" s="24">
        <v>30000</v>
      </c>
      <c r="F10" s="25">
        <v>0.1</v>
      </c>
      <c r="G10" s="26">
        <f t="shared" si="0"/>
        <v>27000</v>
      </c>
      <c r="H10" s="24">
        <v>12000</v>
      </c>
      <c r="I10" s="23">
        <v>46113</v>
      </c>
      <c r="J10" s="27" t="s">
        <v>22</v>
      </c>
      <c r="K10" s="28">
        <f>IF(J10="Paid",I10-D10,Controls!$B$3-D10)</f>
        <v>30</v>
      </c>
      <c r="L10" s="29" t="str">
        <f t="shared" si="1"/>
        <v>0-30</v>
      </c>
      <c r="M10" s="5"/>
      <c r="N10" s="5"/>
      <c r="O10" s="5"/>
    </row>
    <row r="11" spans="1:15" x14ac:dyDescent="0.25">
      <c r="A11" s="22" t="s">
        <v>107</v>
      </c>
      <c r="B11" s="22" t="s">
        <v>75</v>
      </c>
      <c r="C11" s="22" t="s">
        <v>76</v>
      </c>
      <c r="D11" s="23">
        <v>46116</v>
      </c>
      <c r="E11" s="24">
        <v>22000</v>
      </c>
      <c r="F11" s="25">
        <v>0.1</v>
      </c>
      <c r="G11" s="26">
        <f t="shared" si="0"/>
        <v>19800</v>
      </c>
      <c r="H11" s="24">
        <v>0</v>
      </c>
      <c r="I11" s="22"/>
      <c r="J11" s="27" t="s">
        <v>8</v>
      </c>
      <c r="K11" s="28">
        <f>IF(J11="Paid",I11-D11,Controls!$B$3-D11)</f>
        <v>3</v>
      </c>
      <c r="L11" s="29" t="str">
        <f t="shared" si="1"/>
        <v>0-30</v>
      </c>
      <c r="M11" s="5"/>
      <c r="N11" s="5"/>
      <c r="O11" s="5"/>
    </row>
    <row r="12" spans="1:15" x14ac:dyDescent="0.25">
      <c r="A12" s="22" t="s">
        <v>108</v>
      </c>
      <c r="B12" s="22" t="s">
        <v>79</v>
      </c>
      <c r="C12" s="22" t="s">
        <v>80</v>
      </c>
      <c r="D12" s="23">
        <v>46064</v>
      </c>
      <c r="E12" s="24">
        <v>18200</v>
      </c>
      <c r="F12" s="25">
        <v>0</v>
      </c>
      <c r="G12" s="26">
        <f t="shared" si="0"/>
        <v>18200</v>
      </c>
      <c r="H12" s="24">
        <v>18200</v>
      </c>
      <c r="I12" s="23">
        <v>46078</v>
      </c>
      <c r="J12" s="27" t="s">
        <v>26</v>
      </c>
      <c r="K12" s="28">
        <f>IF(J12="Paid",I12-D12,Controls!$B$3-D12)</f>
        <v>14</v>
      </c>
      <c r="L12" s="29" t="str">
        <f t="shared" si="1"/>
        <v>0-30</v>
      </c>
      <c r="M12" s="5"/>
      <c r="N12" s="5"/>
      <c r="O12" s="5"/>
    </row>
    <row r="13" spans="1:15" x14ac:dyDescent="0.25">
      <c r="A13" s="22" t="s">
        <v>109</v>
      </c>
      <c r="B13" s="22" t="s">
        <v>63</v>
      </c>
      <c r="C13" s="22" t="s">
        <v>64</v>
      </c>
      <c r="D13" s="23">
        <v>46113</v>
      </c>
      <c r="E13" s="24">
        <v>48500</v>
      </c>
      <c r="F13" s="25">
        <v>0.05</v>
      </c>
      <c r="G13" s="26">
        <f t="shared" si="0"/>
        <v>46075</v>
      </c>
      <c r="H13" s="24">
        <v>0</v>
      </c>
      <c r="I13" s="22"/>
      <c r="J13" s="27" t="s">
        <v>13</v>
      </c>
      <c r="K13" s="28">
        <f>IF(J13="Paid",I13-D13,Controls!$B$3-D13)</f>
        <v>6</v>
      </c>
      <c r="L13" s="29" t="str">
        <f t="shared" si="1"/>
        <v>0-30</v>
      </c>
      <c r="M13" s="5"/>
      <c r="N13" s="5"/>
      <c r="O13" s="5"/>
    </row>
    <row r="14" spans="1:15" x14ac:dyDescent="0.25">
      <c r="A14" s="22" t="s">
        <v>110</v>
      </c>
      <c r="B14" s="22" t="s">
        <v>71</v>
      </c>
      <c r="C14" s="22" t="s">
        <v>72</v>
      </c>
      <c r="D14" s="23">
        <v>46052</v>
      </c>
      <c r="E14" s="24">
        <v>52000</v>
      </c>
      <c r="F14" s="25">
        <v>0.1</v>
      </c>
      <c r="G14" s="26">
        <f t="shared" si="0"/>
        <v>46800</v>
      </c>
      <c r="H14" s="24">
        <v>52000</v>
      </c>
      <c r="I14" s="23">
        <v>46086</v>
      </c>
      <c r="J14" s="27" t="s">
        <v>26</v>
      </c>
      <c r="K14" s="28">
        <f>IF(J14="Paid",I14-D14,Controls!$B$3-D14)</f>
        <v>34</v>
      </c>
      <c r="L14" s="29" t="str">
        <f t="shared" si="1"/>
        <v>31-60</v>
      </c>
      <c r="M14" s="5"/>
      <c r="N14" s="5"/>
      <c r="O14" s="5"/>
    </row>
  </sheetData>
  <mergeCells count="1">
    <mergeCell ref="A1:L1"/>
  </mergeCells>
  <conditionalFormatting sqref="K5:K14">
    <cfRule type="cellIs" dxfId="6" priority="1" operator="greaterThan">
      <formula>30</formula>
    </cfRule>
    <cfRule type="cellIs" dxfId="5" priority="2" operator="greaterThan">
      <formula>60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Controls!$B$6:$B$11</xm:f>
          </x14:formula1>
          <xm:sqref>J5:J14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"/>
  <sheetViews>
    <sheetView showGridLines="0" workbookViewId="0">
      <selection sqref="A1:K1"/>
    </sheetView>
  </sheetViews>
  <sheetFormatPr defaultRowHeight="15" x14ac:dyDescent="0.25"/>
  <cols>
    <col min="1" max="2" width="11" customWidth="1"/>
    <col min="3" max="3" width="28" customWidth="1"/>
    <col min="4" max="4" width="15" customWidth="1"/>
    <col min="5" max="5" width="26" customWidth="1"/>
    <col min="6" max="8" width="12" customWidth="1"/>
    <col min="9" max="9" width="15" customWidth="1"/>
    <col min="10" max="11" width="10" customWidth="1"/>
    <col min="13" max="14" width="12" customWidth="1"/>
    <col min="16" max="16" width="12" customWidth="1"/>
    <col min="19" max="19" width="14" customWidth="1"/>
  </cols>
  <sheetData>
    <row r="1" spans="1:19" ht="24" customHeight="1" x14ac:dyDescent="0.25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5"/>
      <c r="M1" s="5"/>
      <c r="N1" s="5"/>
      <c r="O1" s="5"/>
      <c r="P1" s="5"/>
      <c r="Q1" s="5"/>
      <c r="R1" s="5"/>
      <c r="S1" s="5"/>
    </row>
    <row r="2" spans="1:19" x14ac:dyDescent="0.25">
      <c r="A2" s="8" t="s">
        <v>112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9" t="s">
        <v>113</v>
      </c>
      <c r="N2" s="5"/>
      <c r="O2" s="5"/>
      <c r="P2" s="9" t="s">
        <v>114</v>
      </c>
      <c r="Q2" s="5"/>
      <c r="R2" s="5"/>
      <c r="S2" s="9" t="s">
        <v>115</v>
      </c>
    </row>
    <row r="3" spans="1:19" ht="24" x14ac:dyDescent="0.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1">
        <f>COUNTIF(H5:H16,"Open")+COUNTIF(H5:H16,"Pending")</f>
        <v>7</v>
      </c>
      <c r="N3" s="5"/>
      <c r="O3" s="5"/>
      <c r="P3" s="11">
        <f>COUNTIF(J5:J16,"Yes")</f>
        <v>3</v>
      </c>
      <c r="Q3" s="5"/>
      <c r="R3" s="5"/>
      <c r="S3" s="11">
        <f>COUNTIF(H5:H16,"Closed")+COUNTIF(H5:H16,"Approved")</f>
        <v>5</v>
      </c>
    </row>
    <row r="4" spans="1:19" ht="30" customHeight="1" x14ac:dyDescent="0.25">
      <c r="A4" s="13" t="s">
        <v>116</v>
      </c>
      <c r="B4" s="13" t="s">
        <v>43</v>
      </c>
      <c r="C4" s="13" t="s">
        <v>44</v>
      </c>
      <c r="D4" s="13" t="s">
        <v>117</v>
      </c>
      <c r="E4" s="13" t="s">
        <v>118</v>
      </c>
      <c r="F4" s="13" t="s">
        <v>119</v>
      </c>
      <c r="G4" s="13" t="s">
        <v>120</v>
      </c>
      <c r="H4" s="13" t="s">
        <v>36</v>
      </c>
      <c r="I4" s="13" t="s">
        <v>121</v>
      </c>
      <c r="J4" s="13" t="s">
        <v>122</v>
      </c>
      <c r="K4" s="13" t="s">
        <v>123</v>
      </c>
      <c r="L4" s="5"/>
      <c r="M4" s="5"/>
      <c r="N4" s="5"/>
      <c r="O4" s="5"/>
      <c r="P4" s="5"/>
      <c r="Q4" s="5"/>
      <c r="R4" s="5"/>
      <c r="S4" s="5"/>
    </row>
    <row r="5" spans="1:19" x14ac:dyDescent="0.25">
      <c r="A5" s="22" t="s">
        <v>124</v>
      </c>
      <c r="B5" s="22" t="s">
        <v>59</v>
      </c>
      <c r="C5" s="22" t="s">
        <v>60</v>
      </c>
      <c r="D5" s="22" t="s">
        <v>125</v>
      </c>
      <c r="E5" s="22" t="s">
        <v>126</v>
      </c>
      <c r="F5" s="23">
        <v>46093</v>
      </c>
      <c r="G5" s="23">
        <v>46100</v>
      </c>
      <c r="H5" s="27" t="s">
        <v>23</v>
      </c>
      <c r="I5" s="22" t="s">
        <v>62</v>
      </c>
      <c r="J5" s="29" t="str">
        <f>IF(OR(H5="Closed",H5="Approved"),"No",IF(G5&lt;Controls!$B$3,"Yes","No"))</f>
        <v>No</v>
      </c>
      <c r="K5" s="28">
        <f>IF(OR(H5="Closed",H5="Approved"),G5-F5,Controls!$B$3-F5)</f>
        <v>7</v>
      </c>
      <c r="L5" s="5"/>
      <c r="M5" s="10" t="s">
        <v>36</v>
      </c>
      <c r="N5" s="10" t="s">
        <v>37</v>
      </c>
      <c r="O5" s="5"/>
      <c r="P5" s="5"/>
      <c r="Q5" s="5"/>
      <c r="R5" s="5"/>
      <c r="S5" s="5"/>
    </row>
    <row r="6" spans="1:19" x14ac:dyDescent="0.25">
      <c r="A6" s="22" t="s">
        <v>127</v>
      </c>
      <c r="B6" s="22" t="s">
        <v>59</v>
      </c>
      <c r="C6" s="22" t="s">
        <v>60</v>
      </c>
      <c r="D6" s="22" t="s">
        <v>128</v>
      </c>
      <c r="E6" s="22" t="s">
        <v>129</v>
      </c>
      <c r="F6" s="23">
        <v>46109</v>
      </c>
      <c r="G6" s="23">
        <v>46120</v>
      </c>
      <c r="H6" s="27" t="s">
        <v>14</v>
      </c>
      <c r="I6" s="22" t="s">
        <v>66</v>
      </c>
      <c r="J6" s="29" t="str">
        <f>IF(OR(H6="Closed",H6="Approved"),"No",IF(G6&lt;Controls!$B$3,"Yes","No"))</f>
        <v>No</v>
      </c>
      <c r="K6" s="28">
        <f>IF(OR(H6="Closed",H6="Approved"),G6-F6,Controls!$B$3-F6)</f>
        <v>10</v>
      </c>
      <c r="L6" s="5"/>
      <c r="M6" s="5" t="s">
        <v>9</v>
      </c>
      <c r="N6" s="5">
        <f>COUNTIF(H5:H16,M6)</f>
        <v>3</v>
      </c>
      <c r="O6" s="5"/>
      <c r="P6" s="5"/>
      <c r="Q6" s="5"/>
      <c r="R6" s="5"/>
      <c r="S6" s="5"/>
    </row>
    <row r="7" spans="1:19" x14ac:dyDescent="0.25">
      <c r="A7" s="22" t="s">
        <v>130</v>
      </c>
      <c r="B7" s="22" t="s">
        <v>63</v>
      </c>
      <c r="C7" s="22" t="s">
        <v>64</v>
      </c>
      <c r="D7" s="22" t="s">
        <v>125</v>
      </c>
      <c r="E7" s="22" t="s">
        <v>131</v>
      </c>
      <c r="F7" s="23">
        <v>46107</v>
      </c>
      <c r="G7" s="23">
        <v>46113</v>
      </c>
      <c r="H7" s="27" t="s">
        <v>18</v>
      </c>
      <c r="I7" s="22" t="s">
        <v>70</v>
      </c>
      <c r="J7" s="29" t="str">
        <f>IF(OR(H7="Closed",H7="Approved"),"No",IF(G7&lt;Controls!$B$3,"Yes","No"))</f>
        <v>No</v>
      </c>
      <c r="K7" s="28">
        <f>IF(OR(H7="Closed",H7="Approved"),G7-F7,Controls!$B$3-F7)</f>
        <v>6</v>
      </c>
      <c r="L7" s="5"/>
      <c r="M7" s="5" t="s">
        <v>14</v>
      </c>
      <c r="N7" s="5">
        <f>COUNTIF(H5:H16,M7)</f>
        <v>4</v>
      </c>
      <c r="O7" s="5"/>
      <c r="P7" s="5"/>
      <c r="Q7" s="5"/>
      <c r="R7" s="5"/>
      <c r="S7" s="5"/>
    </row>
    <row r="8" spans="1:19" x14ac:dyDescent="0.25">
      <c r="A8" s="22" t="s">
        <v>132</v>
      </c>
      <c r="B8" s="22" t="s">
        <v>67</v>
      </c>
      <c r="C8" s="22" t="s">
        <v>68</v>
      </c>
      <c r="D8" s="22" t="s">
        <v>128</v>
      </c>
      <c r="E8" s="22" t="s">
        <v>133</v>
      </c>
      <c r="F8" s="23">
        <v>46113</v>
      </c>
      <c r="G8" s="23">
        <v>46124</v>
      </c>
      <c r="H8" s="27" t="s">
        <v>9</v>
      </c>
      <c r="I8" s="22" t="s">
        <v>78</v>
      </c>
      <c r="J8" s="29" t="str">
        <f>IF(OR(H8="Closed",H8="Approved"),"No",IF(G8&lt;Controls!$B$3,"Yes","No"))</f>
        <v>No</v>
      </c>
      <c r="K8" s="28">
        <f>IF(OR(H8="Closed",H8="Approved"),G8-F8,Controls!$B$3-F8)</f>
        <v>6</v>
      </c>
      <c r="L8" s="5"/>
      <c r="M8" s="5" t="s">
        <v>18</v>
      </c>
      <c r="N8" s="5">
        <f>COUNTIF(H5:H16,M8)</f>
        <v>2</v>
      </c>
      <c r="O8" s="5"/>
      <c r="P8" s="5"/>
      <c r="Q8" s="5"/>
      <c r="R8" s="5"/>
      <c r="S8" s="5"/>
    </row>
    <row r="9" spans="1:19" x14ac:dyDescent="0.25">
      <c r="A9" s="22" t="s">
        <v>134</v>
      </c>
      <c r="B9" s="22" t="s">
        <v>71</v>
      </c>
      <c r="C9" s="22" t="s">
        <v>72</v>
      </c>
      <c r="D9" s="22" t="s">
        <v>125</v>
      </c>
      <c r="E9" s="22" t="s">
        <v>135</v>
      </c>
      <c r="F9" s="23">
        <v>46086</v>
      </c>
      <c r="G9" s="23">
        <v>46093</v>
      </c>
      <c r="H9" s="27" t="s">
        <v>23</v>
      </c>
      <c r="I9" s="22" t="s">
        <v>74</v>
      </c>
      <c r="J9" s="29" t="str">
        <f>IF(OR(H9="Closed",H9="Approved"),"No",IF(G9&lt;Controls!$B$3,"Yes","No"))</f>
        <v>No</v>
      </c>
      <c r="K9" s="28">
        <f>IF(OR(H9="Closed",H9="Approved"),G9-F9,Controls!$B$3-F9)</f>
        <v>7</v>
      </c>
      <c r="L9" s="5"/>
      <c r="M9" s="5" t="s">
        <v>23</v>
      </c>
      <c r="N9" s="5">
        <f>COUNTIF(H5:H16,M9)</f>
        <v>3</v>
      </c>
      <c r="O9" s="5"/>
      <c r="P9" s="5"/>
      <c r="Q9" s="5"/>
      <c r="R9" s="5"/>
      <c r="S9" s="5"/>
    </row>
    <row r="10" spans="1:19" ht="63" customHeight="1" x14ac:dyDescent="0.25">
      <c r="A10" s="22" t="s">
        <v>136</v>
      </c>
      <c r="B10" s="22" t="s">
        <v>71</v>
      </c>
      <c r="C10" s="22" t="s">
        <v>72</v>
      </c>
      <c r="D10" s="22" t="s">
        <v>21</v>
      </c>
      <c r="E10" s="22" t="s">
        <v>137</v>
      </c>
      <c r="F10" s="23">
        <v>46102</v>
      </c>
      <c r="G10" s="23">
        <v>46112</v>
      </c>
      <c r="H10" s="27" t="s">
        <v>14</v>
      </c>
      <c r="I10" s="22" t="s">
        <v>82</v>
      </c>
      <c r="J10" s="29" t="str">
        <f>IF(OR(H10="Closed",H10="Approved"),"No",IF(G10&lt;Controls!$B$3,"Yes","No"))</f>
        <v>Yes</v>
      </c>
      <c r="K10" s="28">
        <f>IF(OR(H10="Closed",H10="Approved"),G10-F10,Controls!$B$3-F10)</f>
        <v>17</v>
      </c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22" t="s">
        <v>138</v>
      </c>
      <c r="B11" s="22" t="s">
        <v>75</v>
      </c>
      <c r="C11" s="22" t="s">
        <v>76</v>
      </c>
      <c r="D11" s="22" t="s">
        <v>125</v>
      </c>
      <c r="E11" s="22" t="s">
        <v>139</v>
      </c>
      <c r="F11" s="23">
        <v>46110</v>
      </c>
      <c r="G11" s="23">
        <v>46115</v>
      </c>
      <c r="H11" s="27" t="s">
        <v>9</v>
      </c>
      <c r="I11" s="22" t="s">
        <v>78</v>
      </c>
      <c r="J11" s="29" t="str">
        <f>IF(OR(H11="Closed",H11="Approved"),"No",IF(G11&lt;Controls!$B$3,"Yes","No"))</f>
        <v>Yes</v>
      </c>
      <c r="K11" s="28">
        <f>IF(OR(H11="Closed",H11="Approved"),G11-F11,Controls!$B$3-F11)</f>
        <v>9</v>
      </c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22" t="s">
        <v>140</v>
      </c>
      <c r="B12" s="22" t="s">
        <v>75</v>
      </c>
      <c r="C12" s="22" t="s">
        <v>76</v>
      </c>
      <c r="D12" s="22" t="s">
        <v>128</v>
      </c>
      <c r="E12" s="22" t="s">
        <v>141</v>
      </c>
      <c r="F12" s="23">
        <v>46111</v>
      </c>
      <c r="G12" s="23">
        <v>46118</v>
      </c>
      <c r="H12" s="27" t="s">
        <v>14</v>
      </c>
      <c r="I12" s="22" t="s">
        <v>66</v>
      </c>
      <c r="J12" s="29" t="str">
        <f>IF(OR(H12="Closed",H12="Approved"),"No",IF(G12&lt;Controls!$B$3,"Yes","No"))</f>
        <v>Yes</v>
      </c>
      <c r="K12" s="28">
        <f>IF(OR(H12="Closed",H12="Approved"),G12-F12,Controls!$B$3-F12)</f>
        <v>8</v>
      </c>
      <c r="L12" s="5"/>
      <c r="M12" s="5"/>
      <c r="N12" s="5"/>
      <c r="O12" s="5"/>
      <c r="P12" s="5"/>
      <c r="Q12" s="5"/>
      <c r="R12" s="5"/>
      <c r="S12" s="5"/>
    </row>
    <row r="13" spans="1:19" x14ac:dyDescent="0.25">
      <c r="A13" s="22" t="s">
        <v>142</v>
      </c>
      <c r="B13" s="22" t="s">
        <v>79</v>
      </c>
      <c r="C13" s="22" t="s">
        <v>80</v>
      </c>
      <c r="D13" s="22" t="s">
        <v>21</v>
      </c>
      <c r="E13" s="22" t="s">
        <v>143</v>
      </c>
      <c r="F13" s="23">
        <v>46071</v>
      </c>
      <c r="G13" s="23">
        <v>46081</v>
      </c>
      <c r="H13" s="27" t="s">
        <v>18</v>
      </c>
      <c r="I13" s="22" t="s">
        <v>62</v>
      </c>
      <c r="J13" s="29" t="str">
        <f>IF(OR(H13="Closed",H13="Approved"),"No",IF(G13&lt;Controls!$B$3,"Yes","No"))</f>
        <v>No</v>
      </c>
      <c r="K13" s="28">
        <f>IF(OR(H13="Closed",H13="Approved"),G13-F13,Controls!$B$3-F13)</f>
        <v>10</v>
      </c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22" t="s">
        <v>144</v>
      </c>
      <c r="B14" s="22" t="s">
        <v>63</v>
      </c>
      <c r="C14" s="22" t="s">
        <v>64</v>
      </c>
      <c r="D14" s="22" t="s">
        <v>128</v>
      </c>
      <c r="E14" s="22" t="s">
        <v>145</v>
      </c>
      <c r="F14" s="23">
        <v>46091</v>
      </c>
      <c r="G14" s="23">
        <v>46098</v>
      </c>
      <c r="H14" s="27" t="s">
        <v>23</v>
      </c>
      <c r="I14" s="22" t="s">
        <v>70</v>
      </c>
      <c r="J14" s="29" t="str">
        <f>IF(OR(H14="Closed",H14="Approved"),"No",IF(G14&lt;Controls!$B$3,"Yes","No"))</f>
        <v>No</v>
      </c>
      <c r="K14" s="28">
        <f>IF(OR(H14="Closed",H14="Approved"),G14-F14,Controls!$B$3-F14)</f>
        <v>7</v>
      </c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22" t="s">
        <v>146</v>
      </c>
      <c r="B15" s="22" t="s">
        <v>59</v>
      </c>
      <c r="C15" s="22" t="s">
        <v>60</v>
      </c>
      <c r="D15" s="22" t="s">
        <v>125</v>
      </c>
      <c r="E15" s="22" t="s">
        <v>147</v>
      </c>
      <c r="F15" s="23">
        <v>46114</v>
      </c>
      <c r="G15" s="23">
        <v>46121</v>
      </c>
      <c r="H15" s="27" t="s">
        <v>9</v>
      </c>
      <c r="I15" s="22" t="s">
        <v>62</v>
      </c>
      <c r="J15" s="29" t="str">
        <f>IF(OR(H15="Closed",H15="Approved"),"No",IF(G15&lt;Controls!$B$3,"Yes","No"))</f>
        <v>No</v>
      </c>
      <c r="K15" s="28">
        <f>IF(OR(H15="Closed",H15="Approved"),G15-F15,Controls!$B$3-F15)</f>
        <v>5</v>
      </c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22" t="s">
        <v>148</v>
      </c>
      <c r="B16" s="22" t="s">
        <v>75</v>
      </c>
      <c r="C16" s="22" t="s">
        <v>76</v>
      </c>
      <c r="D16" s="22" t="s">
        <v>21</v>
      </c>
      <c r="E16" s="22" t="s">
        <v>149</v>
      </c>
      <c r="F16" s="23">
        <v>46115</v>
      </c>
      <c r="G16" s="23">
        <v>46127</v>
      </c>
      <c r="H16" s="27" t="s">
        <v>14</v>
      </c>
      <c r="I16" s="22" t="s">
        <v>74</v>
      </c>
      <c r="J16" s="29" t="str">
        <f>IF(OR(H16="Closed",H16="Approved"),"No",IF(G16&lt;Controls!$B$3,"Yes","No"))</f>
        <v>No</v>
      </c>
      <c r="K16" s="28">
        <f>IF(OR(H16="Closed",H16="Approved"),G16-F16,Controls!$B$3-F16)</f>
        <v>4</v>
      </c>
      <c r="L16" s="5"/>
      <c r="M16" s="5"/>
      <c r="N16" s="5"/>
      <c r="O16" s="5"/>
      <c r="P16" s="5"/>
      <c r="Q16" s="5"/>
      <c r="R16" s="5"/>
      <c r="S16" s="5"/>
    </row>
  </sheetData>
  <mergeCells count="1">
    <mergeCell ref="A1:K1"/>
  </mergeCells>
  <conditionalFormatting sqref="J5:J16">
    <cfRule type="expression" dxfId="4" priority="1">
      <formula>J5="Yes"</formula>
    </cfRule>
  </conditionalFormatting>
  <conditionalFormatting sqref="K5:K16">
    <cfRule type="colorScale" priority="2">
      <colorScale>
        <cfvo type="num" val="0"/>
        <cfvo type="num" val="10"/>
        <cfvo type="num" val="30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Controls!$C$6:$C$9</xm:f>
          </x14:formula1>
          <xm:sqref>H5:H16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"/>
  <sheetViews>
    <sheetView showGridLines="0" workbookViewId="0">
      <selection sqref="A1:J1"/>
    </sheetView>
  </sheetViews>
  <sheetFormatPr defaultRowHeight="15" x14ac:dyDescent="0.25"/>
  <cols>
    <col min="1" max="1" width="10" customWidth="1"/>
    <col min="2" max="2" width="22" customWidth="1"/>
    <col min="3" max="3" width="15" customWidth="1"/>
    <col min="4" max="4" width="17" customWidth="1"/>
    <col min="5" max="6" width="11" customWidth="1"/>
    <col min="7" max="10" width="12" customWidth="1"/>
    <col min="12" max="13" width="12" customWidth="1"/>
    <col min="15" max="15" width="12" customWidth="1"/>
    <col min="18" max="18" width="12" customWidth="1"/>
  </cols>
  <sheetData>
    <row r="1" spans="1:18" ht="24" customHeight="1" x14ac:dyDescent="0.25">
      <c r="A1" s="39" t="s">
        <v>150</v>
      </c>
      <c r="B1" s="40"/>
      <c r="C1" s="40"/>
      <c r="D1" s="40"/>
      <c r="E1" s="40"/>
      <c r="F1" s="40"/>
      <c r="G1" s="40"/>
      <c r="H1" s="40"/>
      <c r="I1" s="40"/>
      <c r="J1" s="40"/>
      <c r="K1" s="5"/>
      <c r="L1" s="5"/>
      <c r="M1" s="5"/>
      <c r="N1" s="5"/>
      <c r="O1" s="5"/>
      <c r="P1" s="5"/>
      <c r="Q1" s="5"/>
      <c r="R1" s="5"/>
    </row>
    <row r="2" spans="1:18" x14ac:dyDescent="0.25">
      <c r="A2" s="8" t="s">
        <v>151</v>
      </c>
      <c r="B2" s="5"/>
      <c r="C2" s="5"/>
      <c r="D2" s="5"/>
      <c r="E2" s="5"/>
      <c r="F2" s="5"/>
      <c r="G2" s="5"/>
      <c r="H2" s="5"/>
      <c r="I2" s="5"/>
      <c r="J2" s="5"/>
      <c r="K2" s="5"/>
      <c r="L2" s="9" t="s">
        <v>152</v>
      </c>
      <c r="M2" s="5"/>
      <c r="N2" s="5"/>
      <c r="O2" s="9" t="s">
        <v>153</v>
      </c>
      <c r="P2" s="5"/>
      <c r="Q2" s="5"/>
      <c r="R2" s="9" t="s">
        <v>154</v>
      </c>
    </row>
    <row r="3" spans="1:18" ht="24" x14ac:dyDescent="0.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21">
        <f>SUM(J5:J13)</f>
        <v>8717</v>
      </c>
      <c r="M3" s="5"/>
      <c r="N3" s="5"/>
      <c r="O3" s="11">
        <f>COUNTIF(I5:I13,"Reorder")</f>
        <v>4</v>
      </c>
      <c r="P3" s="5"/>
      <c r="Q3" s="5"/>
      <c r="R3" s="11">
        <f>COUNTIF(I5:I13,"On Order")</f>
        <v>1</v>
      </c>
    </row>
    <row r="4" spans="1:18" ht="30" customHeight="1" x14ac:dyDescent="0.25">
      <c r="A4" s="13" t="s">
        <v>155</v>
      </c>
      <c r="B4" s="13" t="s">
        <v>156</v>
      </c>
      <c r="C4" s="13" t="s">
        <v>157</v>
      </c>
      <c r="D4" s="13" t="s">
        <v>158</v>
      </c>
      <c r="E4" s="13" t="s">
        <v>159</v>
      </c>
      <c r="F4" s="13" t="s">
        <v>160</v>
      </c>
      <c r="G4" s="13" t="s">
        <v>161</v>
      </c>
      <c r="H4" s="13" t="s">
        <v>162</v>
      </c>
      <c r="I4" s="13" t="s">
        <v>163</v>
      </c>
      <c r="J4" s="13" t="s">
        <v>152</v>
      </c>
      <c r="K4" s="5"/>
      <c r="L4" s="5"/>
      <c r="M4" s="5"/>
      <c r="N4" s="5"/>
      <c r="O4" s="5"/>
      <c r="P4" s="5"/>
      <c r="Q4" s="5"/>
      <c r="R4" s="5"/>
    </row>
    <row r="5" spans="1:18" x14ac:dyDescent="0.25">
      <c r="A5" s="22" t="s">
        <v>164</v>
      </c>
      <c r="B5" s="22" t="s">
        <v>165</v>
      </c>
      <c r="C5" s="22" t="s">
        <v>166</v>
      </c>
      <c r="D5" s="22" t="s">
        <v>167</v>
      </c>
      <c r="E5" s="24">
        <v>185</v>
      </c>
      <c r="F5" s="31">
        <v>12</v>
      </c>
      <c r="G5" s="31">
        <v>8</v>
      </c>
      <c r="H5" s="31">
        <v>6</v>
      </c>
      <c r="I5" s="29" t="str">
        <f t="shared" ref="I5:I13" si="0">IF(F5&lt;=G5,"Reorder",IF(H5&gt;0,"On Order","OK"))</f>
        <v>On Order</v>
      </c>
      <c r="J5" s="26">
        <f t="shared" ref="J5:J13" si="1">E5*F5</f>
        <v>2220</v>
      </c>
      <c r="K5" s="5"/>
      <c r="L5" s="10" t="s">
        <v>157</v>
      </c>
      <c r="M5" s="10" t="s">
        <v>152</v>
      </c>
      <c r="N5" s="5"/>
      <c r="O5" s="5"/>
      <c r="P5" s="5"/>
      <c r="Q5" s="5"/>
      <c r="R5" s="5"/>
    </row>
    <row r="6" spans="1:18" x14ac:dyDescent="0.25">
      <c r="A6" s="22" t="s">
        <v>168</v>
      </c>
      <c r="B6" s="22" t="s">
        <v>169</v>
      </c>
      <c r="C6" s="22" t="s">
        <v>170</v>
      </c>
      <c r="D6" s="22" t="s">
        <v>171</v>
      </c>
      <c r="E6" s="24">
        <v>140</v>
      </c>
      <c r="F6" s="31">
        <v>4</v>
      </c>
      <c r="G6" s="31">
        <v>6</v>
      </c>
      <c r="H6" s="31">
        <v>8</v>
      </c>
      <c r="I6" s="29" t="str">
        <f t="shared" si="0"/>
        <v>Reorder</v>
      </c>
      <c r="J6" s="26">
        <f t="shared" si="1"/>
        <v>560</v>
      </c>
      <c r="K6" s="5"/>
      <c r="L6" s="5" t="s">
        <v>166</v>
      </c>
      <c r="M6" s="30">
        <f t="shared" ref="M6:M11" si="2">SUMIFS(J$5:J$13,C$5:C$13,L6)</f>
        <v>2220</v>
      </c>
      <c r="N6" s="5"/>
      <c r="O6" s="5"/>
      <c r="P6" s="5"/>
      <c r="Q6" s="5"/>
      <c r="R6" s="5"/>
    </row>
    <row r="7" spans="1:18" x14ac:dyDescent="0.25">
      <c r="A7" s="22" t="s">
        <v>172</v>
      </c>
      <c r="B7" s="22" t="s">
        <v>173</v>
      </c>
      <c r="C7" s="22" t="s">
        <v>174</v>
      </c>
      <c r="D7" s="22" t="s">
        <v>175</v>
      </c>
      <c r="E7" s="24">
        <v>3</v>
      </c>
      <c r="F7" s="31">
        <v>175</v>
      </c>
      <c r="G7" s="31">
        <v>120</v>
      </c>
      <c r="H7" s="31">
        <v>0</v>
      </c>
      <c r="I7" s="29" t="str">
        <f t="shared" si="0"/>
        <v>OK</v>
      </c>
      <c r="J7" s="26">
        <f t="shared" si="1"/>
        <v>525</v>
      </c>
      <c r="K7" s="5"/>
      <c r="L7" s="5" t="s">
        <v>170</v>
      </c>
      <c r="M7" s="30">
        <f t="shared" si="2"/>
        <v>1210</v>
      </c>
      <c r="N7" s="5"/>
      <c r="O7" s="5"/>
      <c r="P7" s="5"/>
      <c r="Q7" s="5"/>
      <c r="R7" s="5"/>
    </row>
    <row r="8" spans="1:18" x14ac:dyDescent="0.25">
      <c r="A8" s="22" t="s">
        <v>176</v>
      </c>
      <c r="B8" s="22" t="s">
        <v>177</v>
      </c>
      <c r="C8" s="22" t="s">
        <v>174</v>
      </c>
      <c r="D8" s="22" t="s">
        <v>178</v>
      </c>
      <c r="E8" s="24">
        <v>12</v>
      </c>
      <c r="F8" s="31">
        <v>15</v>
      </c>
      <c r="G8" s="31">
        <v>20</v>
      </c>
      <c r="H8" s="31">
        <v>25</v>
      </c>
      <c r="I8" s="29" t="str">
        <f t="shared" si="0"/>
        <v>Reorder</v>
      </c>
      <c r="J8" s="26">
        <f t="shared" si="1"/>
        <v>180</v>
      </c>
      <c r="K8" s="5"/>
      <c r="L8" s="5" t="s">
        <v>174</v>
      </c>
      <c r="M8" s="30">
        <f t="shared" si="2"/>
        <v>777</v>
      </c>
      <c r="N8" s="5"/>
      <c r="O8" s="5"/>
      <c r="P8" s="5"/>
      <c r="Q8" s="5"/>
      <c r="R8" s="5"/>
    </row>
    <row r="9" spans="1:18" x14ac:dyDescent="0.25">
      <c r="A9" s="22" t="s">
        <v>179</v>
      </c>
      <c r="B9" s="22" t="s">
        <v>180</v>
      </c>
      <c r="C9" s="22" t="s">
        <v>181</v>
      </c>
      <c r="D9" s="22" t="s">
        <v>175</v>
      </c>
      <c r="E9" s="24">
        <v>420</v>
      </c>
      <c r="F9" s="31">
        <v>9</v>
      </c>
      <c r="G9" s="31">
        <v>6</v>
      </c>
      <c r="H9" s="31">
        <v>0</v>
      </c>
      <c r="I9" s="29" t="str">
        <f t="shared" si="0"/>
        <v>OK</v>
      </c>
      <c r="J9" s="26">
        <f t="shared" si="1"/>
        <v>3780</v>
      </c>
      <c r="K9" s="5"/>
      <c r="L9" s="5" t="s">
        <v>181</v>
      </c>
      <c r="M9" s="30">
        <f t="shared" si="2"/>
        <v>3780</v>
      </c>
      <c r="N9" s="5"/>
      <c r="O9" s="5"/>
      <c r="P9" s="5"/>
      <c r="Q9" s="5"/>
      <c r="R9" s="5"/>
    </row>
    <row r="10" spans="1:18" ht="234" customHeight="1" x14ac:dyDescent="0.25">
      <c r="A10" s="22" t="s">
        <v>182</v>
      </c>
      <c r="B10" s="22" t="s">
        <v>183</v>
      </c>
      <c r="C10" s="22" t="s">
        <v>170</v>
      </c>
      <c r="D10" s="22" t="s">
        <v>167</v>
      </c>
      <c r="E10" s="24">
        <v>325</v>
      </c>
      <c r="F10" s="31">
        <v>2</v>
      </c>
      <c r="G10" s="31">
        <v>3</v>
      </c>
      <c r="H10" s="31">
        <v>2</v>
      </c>
      <c r="I10" s="29" t="str">
        <f t="shared" si="0"/>
        <v>Reorder</v>
      </c>
      <c r="J10" s="26">
        <f t="shared" si="1"/>
        <v>650</v>
      </c>
      <c r="K10" s="5"/>
      <c r="L10" s="5" t="s">
        <v>184</v>
      </c>
      <c r="M10" s="30">
        <f t="shared" si="2"/>
        <v>240</v>
      </c>
      <c r="N10" s="5"/>
      <c r="O10" s="5"/>
      <c r="P10" s="5"/>
      <c r="Q10" s="5"/>
      <c r="R10" s="5"/>
    </row>
    <row r="11" spans="1:18" x14ac:dyDescent="0.25">
      <c r="A11" s="22" t="s">
        <v>185</v>
      </c>
      <c r="B11" s="22" t="s">
        <v>186</v>
      </c>
      <c r="C11" s="22" t="s">
        <v>184</v>
      </c>
      <c r="D11" s="22" t="s">
        <v>69</v>
      </c>
      <c r="E11" s="24">
        <v>48</v>
      </c>
      <c r="F11" s="31">
        <v>5</v>
      </c>
      <c r="G11" s="31">
        <v>4</v>
      </c>
      <c r="H11" s="31">
        <v>0</v>
      </c>
      <c r="I11" s="29" t="str">
        <f t="shared" si="0"/>
        <v>OK</v>
      </c>
      <c r="J11" s="26">
        <f t="shared" si="1"/>
        <v>240</v>
      </c>
      <c r="K11" s="5"/>
      <c r="L11" s="5" t="s">
        <v>187</v>
      </c>
      <c r="M11" s="30">
        <f t="shared" si="2"/>
        <v>490</v>
      </c>
      <c r="N11" s="5"/>
      <c r="O11" s="5"/>
      <c r="P11" s="5"/>
      <c r="Q11" s="5"/>
      <c r="R11" s="5"/>
    </row>
    <row r="12" spans="1:18" x14ac:dyDescent="0.25">
      <c r="A12" s="22" t="s">
        <v>188</v>
      </c>
      <c r="B12" s="22" t="s">
        <v>189</v>
      </c>
      <c r="C12" s="22" t="s">
        <v>187</v>
      </c>
      <c r="D12" s="22" t="s">
        <v>171</v>
      </c>
      <c r="E12" s="24">
        <v>35</v>
      </c>
      <c r="F12" s="31">
        <v>14</v>
      </c>
      <c r="G12" s="31">
        <v>10</v>
      </c>
      <c r="H12" s="31">
        <v>0</v>
      </c>
      <c r="I12" s="29" t="str">
        <f t="shared" si="0"/>
        <v>OK</v>
      </c>
      <c r="J12" s="26">
        <f t="shared" si="1"/>
        <v>490</v>
      </c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22" t="s">
        <v>190</v>
      </c>
      <c r="B13" s="22" t="s">
        <v>191</v>
      </c>
      <c r="C13" s="22" t="s">
        <v>174</v>
      </c>
      <c r="D13" s="22" t="s">
        <v>192</v>
      </c>
      <c r="E13" s="24">
        <v>24</v>
      </c>
      <c r="F13" s="31">
        <v>3</v>
      </c>
      <c r="G13" s="31">
        <v>5</v>
      </c>
      <c r="H13" s="31">
        <v>10</v>
      </c>
      <c r="I13" s="29" t="str">
        <f t="shared" si="0"/>
        <v>Reorder</v>
      </c>
      <c r="J13" s="26">
        <f t="shared" si="1"/>
        <v>72</v>
      </c>
      <c r="K13" s="5"/>
      <c r="L13" s="5"/>
      <c r="M13" s="5"/>
      <c r="N13" s="5"/>
      <c r="O13" s="5"/>
      <c r="P13" s="5"/>
      <c r="Q13" s="5"/>
      <c r="R13" s="5"/>
    </row>
  </sheetData>
  <mergeCells count="1">
    <mergeCell ref="A1:J1"/>
  </mergeCells>
  <conditionalFormatting sqref="F5:F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3">
    <cfRule type="expression" dxfId="3" priority="1">
      <formula>I5="Reorder"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showGridLines="0" workbookViewId="0">
      <selection sqref="A1:R1"/>
    </sheetView>
  </sheetViews>
  <sheetFormatPr defaultRowHeight="15" x14ac:dyDescent="0.25"/>
  <cols>
    <col min="1" max="1" width="10" customWidth="1"/>
    <col min="2" max="2" width="28" customWidth="1"/>
    <col min="3" max="3" width="14" customWidth="1"/>
    <col min="4" max="4" width="15" customWidth="1"/>
    <col min="5" max="7" width="12" customWidth="1"/>
    <col min="8" max="8" width="11" customWidth="1"/>
    <col min="9" max="9" width="12" customWidth="1"/>
    <col min="10" max="10" width="22" customWidth="1"/>
    <col min="11" max="18" width="9" customWidth="1"/>
  </cols>
  <sheetData>
    <row r="1" spans="1:18" ht="24" customHeight="1" x14ac:dyDescent="0.25">
      <c r="A1" s="39" t="s">
        <v>193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x14ac:dyDescent="0.25">
      <c r="A2" s="8" t="s">
        <v>194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30" customHeight="1" x14ac:dyDescent="0.25">
      <c r="A4" s="13" t="s">
        <v>43</v>
      </c>
      <c r="B4" s="13" t="s">
        <v>44</v>
      </c>
      <c r="C4" s="13" t="s">
        <v>195</v>
      </c>
      <c r="D4" s="13" t="s">
        <v>196</v>
      </c>
      <c r="E4" s="13" t="s">
        <v>197</v>
      </c>
      <c r="F4" s="13" t="s">
        <v>198</v>
      </c>
      <c r="G4" s="13" t="s">
        <v>199</v>
      </c>
      <c r="H4" s="13" t="s">
        <v>200</v>
      </c>
      <c r="I4" s="13" t="s">
        <v>201</v>
      </c>
      <c r="J4" s="13" t="s">
        <v>202</v>
      </c>
      <c r="K4" s="32">
        <v>46090</v>
      </c>
      <c r="L4" s="32">
        <v>46097</v>
      </c>
      <c r="M4" s="32">
        <v>46104</v>
      </c>
      <c r="N4" s="32">
        <v>46111</v>
      </c>
      <c r="O4" s="32">
        <v>46118</v>
      </c>
      <c r="P4" s="32">
        <v>46125</v>
      </c>
      <c r="Q4" s="32">
        <v>46132</v>
      </c>
      <c r="R4" s="32">
        <v>46139</v>
      </c>
    </row>
    <row r="5" spans="1:18" x14ac:dyDescent="0.25">
      <c r="A5" s="22" t="s">
        <v>59</v>
      </c>
      <c r="B5" s="22" t="s">
        <v>60</v>
      </c>
      <c r="C5" s="27" t="s">
        <v>19</v>
      </c>
      <c r="D5" s="22" t="s">
        <v>62</v>
      </c>
      <c r="E5" s="33">
        <v>46104</v>
      </c>
      <c r="F5" s="33">
        <v>46129</v>
      </c>
      <c r="G5" s="27"/>
      <c r="H5" s="28">
        <f>IF(G5&lt;&gt;"",G5-E5,Controls!$B$3-E5)</f>
        <v>15</v>
      </c>
      <c r="I5" s="27" t="s">
        <v>203</v>
      </c>
      <c r="J5" s="22" t="s">
        <v>204</v>
      </c>
      <c r="K5" s="4" t="str">
        <f t="shared" ref="K5:R10" si="0">IF(AND(K$4&gt;=$E5,K$4&lt;=$F5),1,"")</f>
        <v/>
      </c>
      <c r="L5" s="4" t="str">
        <f t="shared" si="0"/>
        <v/>
      </c>
      <c r="M5" s="4">
        <f t="shared" si="0"/>
        <v>1</v>
      </c>
      <c r="N5" s="4">
        <f t="shared" si="0"/>
        <v>1</v>
      </c>
      <c r="O5" s="4">
        <f t="shared" si="0"/>
        <v>1</v>
      </c>
      <c r="P5" s="4">
        <f t="shared" si="0"/>
        <v>1</v>
      </c>
      <c r="Q5" s="4" t="str">
        <f t="shared" si="0"/>
        <v/>
      </c>
      <c r="R5" s="4" t="str">
        <f t="shared" si="0"/>
        <v/>
      </c>
    </row>
    <row r="6" spans="1:18" x14ac:dyDescent="0.25">
      <c r="A6" s="22" t="s">
        <v>63</v>
      </c>
      <c r="B6" s="22" t="s">
        <v>64</v>
      </c>
      <c r="C6" s="27" t="s">
        <v>17</v>
      </c>
      <c r="D6" s="22" t="s">
        <v>66</v>
      </c>
      <c r="E6" s="33">
        <v>46105</v>
      </c>
      <c r="F6" s="33">
        <v>46122</v>
      </c>
      <c r="G6" s="27"/>
      <c r="H6" s="28">
        <f>IF(G6&lt;&gt;"",G6-E6,Controls!$B$3-E6)</f>
        <v>14</v>
      </c>
      <c r="I6" s="27" t="s">
        <v>205</v>
      </c>
      <c r="J6" s="22" t="s">
        <v>206</v>
      </c>
      <c r="K6" s="4" t="str">
        <f t="shared" si="0"/>
        <v/>
      </c>
      <c r="L6" s="4" t="str">
        <f t="shared" si="0"/>
        <v/>
      </c>
      <c r="M6" s="4" t="str">
        <f t="shared" si="0"/>
        <v/>
      </c>
      <c r="N6" s="4">
        <f t="shared" si="0"/>
        <v>1</v>
      </c>
      <c r="O6" s="4">
        <f t="shared" si="0"/>
        <v>1</v>
      </c>
      <c r="P6" s="4" t="str">
        <f t="shared" si="0"/>
        <v/>
      </c>
      <c r="Q6" s="4" t="str">
        <f t="shared" si="0"/>
        <v/>
      </c>
      <c r="R6" s="4" t="str">
        <f t="shared" si="0"/>
        <v/>
      </c>
    </row>
    <row r="7" spans="1:18" x14ac:dyDescent="0.25">
      <c r="A7" s="22" t="s">
        <v>67</v>
      </c>
      <c r="B7" s="22" t="s">
        <v>68</v>
      </c>
      <c r="C7" s="27" t="s">
        <v>15</v>
      </c>
      <c r="D7" s="22" t="s">
        <v>70</v>
      </c>
      <c r="E7" s="33">
        <v>46111</v>
      </c>
      <c r="F7" s="33">
        <v>46136</v>
      </c>
      <c r="G7" s="27"/>
      <c r="H7" s="28">
        <f>IF(G7&lt;&gt;"",G7-E7,Controls!$B$3-E7)</f>
        <v>8</v>
      </c>
      <c r="I7" s="27" t="s">
        <v>203</v>
      </c>
      <c r="J7" s="22" t="s">
        <v>207</v>
      </c>
      <c r="K7" s="4" t="str">
        <f t="shared" si="0"/>
        <v/>
      </c>
      <c r="L7" s="4" t="str">
        <f t="shared" si="0"/>
        <v/>
      </c>
      <c r="M7" s="4" t="str">
        <f t="shared" si="0"/>
        <v/>
      </c>
      <c r="N7" s="4">
        <f t="shared" si="0"/>
        <v>1</v>
      </c>
      <c r="O7" s="4">
        <f t="shared" si="0"/>
        <v>1</v>
      </c>
      <c r="P7" s="4">
        <f t="shared" si="0"/>
        <v>1</v>
      </c>
      <c r="Q7" s="4">
        <f t="shared" si="0"/>
        <v>1</v>
      </c>
      <c r="R7" s="4" t="str">
        <f t="shared" si="0"/>
        <v/>
      </c>
    </row>
    <row r="8" spans="1:18" x14ac:dyDescent="0.25">
      <c r="A8" s="22" t="s">
        <v>71</v>
      </c>
      <c r="B8" s="22" t="s">
        <v>72</v>
      </c>
      <c r="C8" s="27" t="s">
        <v>21</v>
      </c>
      <c r="D8" s="22" t="s">
        <v>74</v>
      </c>
      <c r="E8" s="33">
        <v>46097</v>
      </c>
      <c r="F8" s="33">
        <v>46121</v>
      </c>
      <c r="G8" s="27"/>
      <c r="H8" s="28">
        <f>IF(G8&lt;&gt;"",G8-E8,Controls!$B$3-E8)</f>
        <v>22</v>
      </c>
      <c r="I8" s="27" t="s">
        <v>208</v>
      </c>
      <c r="J8" s="22" t="s">
        <v>209</v>
      </c>
      <c r="K8" s="4" t="str">
        <f t="shared" si="0"/>
        <v/>
      </c>
      <c r="L8" s="4">
        <f t="shared" si="0"/>
        <v>1</v>
      </c>
      <c r="M8" s="4">
        <f t="shared" si="0"/>
        <v>1</v>
      </c>
      <c r="N8" s="4">
        <f t="shared" si="0"/>
        <v>1</v>
      </c>
      <c r="O8" s="4">
        <f t="shared" si="0"/>
        <v>1</v>
      </c>
      <c r="P8" s="4" t="str">
        <f t="shared" si="0"/>
        <v/>
      </c>
      <c r="Q8" s="4" t="str">
        <f t="shared" si="0"/>
        <v/>
      </c>
      <c r="R8" s="4" t="str">
        <f t="shared" si="0"/>
        <v/>
      </c>
    </row>
    <row r="9" spans="1:18" x14ac:dyDescent="0.25">
      <c r="A9" s="22" t="s">
        <v>75</v>
      </c>
      <c r="B9" s="22" t="s">
        <v>76</v>
      </c>
      <c r="C9" s="27" t="s">
        <v>19</v>
      </c>
      <c r="D9" s="22" t="s">
        <v>78</v>
      </c>
      <c r="E9" s="33">
        <v>46098</v>
      </c>
      <c r="F9" s="33">
        <v>46134</v>
      </c>
      <c r="G9" s="27"/>
      <c r="H9" s="28">
        <f>IF(G9&lt;&gt;"",G9-E9,Controls!$B$3-E9)</f>
        <v>21</v>
      </c>
      <c r="I9" s="27" t="s">
        <v>203</v>
      </c>
      <c r="J9" s="22" t="s">
        <v>210</v>
      </c>
      <c r="K9" s="4" t="str">
        <f t="shared" si="0"/>
        <v/>
      </c>
      <c r="L9" s="4" t="str">
        <f t="shared" si="0"/>
        <v/>
      </c>
      <c r="M9" s="4">
        <f t="shared" si="0"/>
        <v>1</v>
      </c>
      <c r="N9" s="4">
        <f t="shared" si="0"/>
        <v>1</v>
      </c>
      <c r="O9" s="4">
        <f t="shared" si="0"/>
        <v>1</v>
      </c>
      <c r="P9" s="4">
        <f t="shared" si="0"/>
        <v>1</v>
      </c>
      <c r="Q9" s="4">
        <f t="shared" si="0"/>
        <v>1</v>
      </c>
      <c r="R9" s="4" t="str">
        <f t="shared" si="0"/>
        <v/>
      </c>
    </row>
    <row r="10" spans="1:18" x14ac:dyDescent="0.25">
      <c r="A10" s="22" t="s">
        <v>79</v>
      </c>
      <c r="B10" s="22" t="s">
        <v>80</v>
      </c>
      <c r="C10" s="27" t="s">
        <v>23</v>
      </c>
      <c r="D10" s="22" t="s">
        <v>82</v>
      </c>
      <c r="E10" s="33">
        <v>46063</v>
      </c>
      <c r="F10" s="33">
        <v>46081</v>
      </c>
      <c r="G10" s="33">
        <v>46080</v>
      </c>
      <c r="H10" s="28">
        <f>IF(G10&lt;&gt;"",G10-E10,Controls!$B$3-E10)</f>
        <v>17</v>
      </c>
      <c r="I10" s="27" t="s">
        <v>211</v>
      </c>
      <c r="J10" s="22" t="s">
        <v>212</v>
      </c>
      <c r="K10" s="4" t="str">
        <f t="shared" si="0"/>
        <v/>
      </c>
      <c r="L10" s="4" t="str">
        <f t="shared" si="0"/>
        <v/>
      </c>
      <c r="M10" s="4" t="str">
        <f t="shared" si="0"/>
        <v/>
      </c>
      <c r="N10" s="4" t="str">
        <f t="shared" si="0"/>
        <v/>
      </c>
      <c r="O10" s="4" t="str">
        <f t="shared" si="0"/>
        <v/>
      </c>
      <c r="P10" s="4" t="str">
        <f t="shared" si="0"/>
        <v/>
      </c>
      <c r="Q10" s="4" t="str">
        <f t="shared" si="0"/>
        <v/>
      </c>
      <c r="R10" s="4" t="str">
        <f t="shared" si="0"/>
        <v/>
      </c>
    </row>
  </sheetData>
  <mergeCells count="1">
    <mergeCell ref="A1:R1"/>
  </mergeCells>
  <conditionalFormatting sqref="I5:I10">
    <cfRule type="expression" dxfId="2" priority="9">
      <formula>I5="At Risk"</formula>
    </cfRule>
    <cfRule type="expression" dxfId="1" priority="10">
      <formula>I5="Needs Review"</formula>
    </cfRule>
  </conditionalFormatting>
  <conditionalFormatting sqref="K5:R10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Controls!$D$6:$D$11</xm:f>
          </x14:formula1>
          <xm:sqref>C5:C10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Controls</vt:lpstr>
      <vt:lpstr>Project Dashboard</vt:lpstr>
      <vt:lpstr>Billing Tracker</vt:lpstr>
      <vt:lpstr>Document Control</vt:lpstr>
      <vt:lpstr>Inventory Tracker</vt:lpstr>
      <vt:lpstr>Workflow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AMOH ADJEI</cp:lastModifiedBy>
  <dcterms:created xsi:type="dcterms:W3CDTF">2026-04-07T04:47:15Z</dcterms:created>
  <dcterms:modified xsi:type="dcterms:W3CDTF">2026-04-07T04:47:15Z</dcterms:modified>
</cp:coreProperties>
</file>